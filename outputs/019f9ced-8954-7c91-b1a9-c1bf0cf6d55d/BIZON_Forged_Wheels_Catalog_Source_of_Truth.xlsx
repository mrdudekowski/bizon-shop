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019907005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c64fa9dcb9c94f6b"/>
    <x:sheet xmlns:r="http://schemas.openxmlformats.org/officeDocument/2006/relationships" name="01_WHEEL_MODELS" sheetId="2" r:id="Rf1e7f41f1ec74305"/>
    <x:sheet xmlns:r="http://schemas.openxmlformats.org/officeDocument/2006/relationships" name="02_WHEEL_VARIANTS" sheetId="3" r:id="R9a47ff689dc043aa"/>
    <x:sheet xmlns:r="http://schemas.openxmlformats.org/officeDocument/2006/relationships" name="03_MODEL_FEATURES" sheetId="4" r:id="R6049e0f7eccc497d"/>
    <x:sheet xmlns:r="http://schemas.openxmlformats.org/officeDocument/2006/relationships" name="04_PRODUCTION_PLATFORMS" sheetId="5" r:id="R6a0ff8c6cc604923"/>
    <x:sheet xmlns:r="http://schemas.openxmlformats.org/officeDocument/2006/relationships" name="05_ATTRIBUTE_REGISTRY" sheetId="6" r:id="R8da301dc691b4a58"/>
    <x:sheet xmlns:r="http://schemas.openxmlformats.org/officeDocument/2006/relationships" name="06_ATTRIBUTE_VALUES" sheetId="7" r:id="Rd76a59013c8f4752"/>
    <x:sheet xmlns:r="http://schemas.openxmlformats.org/officeDocument/2006/relationships" name="07_FILTER_REGISTRY" sheetId="8" r:id="R7b81062a85774df5"/>
    <x:sheet xmlns:r="http://schemas.openxmlformats.org/officeDocument/2006/relationships" name="08_FILTER_VALUES" sheetId="9" r:id="R0bf4b94505424f8d"/>
    <x:sheet xmlns:r="http://schemas.openxmlformats.org/officeDocument/2006/relationships" name="09_DICTIONARIES" sheetId="10" r:id="Reec2fc9ec2c14a5a"/>
    <x:sheet xmlns:r="http://schemas.openxmlformats.org/officeDocument/2006/relationships" name="10_VEHICLES" sheetId="11" r:id="Rb94a9dced9b14105"/>
    <x:sheet xmlns:r="http://schemas.openxmlformats.org/officeDocument/2006/relationships" name="11_FITMENT_SETS" sheetId="12" r:id="Rd5f115b165ec4cb4"/>
    <x:sheet xmlns:r="http://schemas.openxmlformats.org/officeDocument/2006/relationships" name="12_FITMENT_AXLES" sheetId="13" r:id="Rac0d7bf55757407b"/>
    <x:sheet xmlns:r="http://schemas.openxmlformats.org/officeDocument/2006/relationships" name="13_INSTALLATION_KITS" sheetId="14" r:id="R423898d259ac4127"/>
    <x:sheet xmlns:r="http://schemas.openxmlformats.org/officeDocument/2006/relationships" name="14_MEDIA_MAPPING" sheetId="15" r:id="Rcb37316012ac48cf"/>
    <x:sheet xmlns:r="http://schemas.openxmlformats.org/officeDocument/2006/relationships" name="15_SOURCE_MAPPING" sheetId="16" r:id="R1610764f9ab14b99"/>
    <x:sheet xmlns:r="http://schemas.openxmlformats.org/officeDocument/2006/relationships" name="16_PAYLOAD_MAPPING" sheetId="17" r:id="R2375b31bcb3f43f6"/>
    <x:sheet xmlns:r="http://schemas.openxmlformats.org/officeDocument/2006/relationships" name="17_DB_SCHEMA" sheetId="18" r:id="R0c76e2ec4c584511"/>
    <x:sheet xmlns:r="http://schemas.openxmlformats.org/officeDocument/2006/relationships" name="18_QA_ISSUES" sheetId="19" r:id="Raac6991b3b84401a"/>
    <x:sheet xmlns:r="http://schemas.openxmlformats.org/officeDocument/2006/relationships" name="19_VALIDATION_RULES" sheetId="20" r:id="Rf40cfdbb58c64ace"/>
    <x:sheet xmlns:r="http://schemas.openxmlformats.org/officeDocument/2006/relationships" name="20_CMS_IMPORT" sheetId="21" r:id="Rddcf1b118e6d47f4"/>
    <x:sheet xmlns:r="http://schemas.openxmlformats.org/officeDocument/2006/relationships" name="21_CATALOG_VIEW" sheetId="22" r:id="R7c97c8d63e674403"/>
    <x:sheet xmlns:r="http://schemas.openxmlformats.org/officeDocument/2006/relationships" name="22_CHANGELOG" sheetId="23" r:id="R0f72c2ad3f7b4f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#0&quot; ₽&quot;"/>
    <x:numFmt numFmtId="202" formatCode="0.0"/>
    <x:numFmt numFmtId="203" formatCode="0"/>
    <x:numFmt numFmtId="204" formatCode="#,##0&quot; kg&quot;"/>
    <x:numFmt numFmtId="205" formatCode="0&quot; mm&quot;"/>
    <x:numFmt numFmtId="206" formatCode="0.0&quot; mm&quot;"/>
    <x:numFmt numFmtId="207" formatCode="0&quot; N·m&quot;"/>
    <x:numFmt numFmtId="208" formatCode="0.0&quot; kg&quot;"/>
  </x:numFmts>
  <x:fonts count="8">
    <x:font>
      <x:sz val="11"/>
      <x:name val="Carlito"/>
    </x:font>
    <x:font>
      <x:sz val="10"/>
      <x:color rgb="FF2E3432"/>
      <x:name val="Aptos"/>
    </x:font>
    <x:font>
      <x:b/>
      <x:sz val="10"/>
      <x:color rgb="FFFFFFFF"/>
      <x:name val="Aptos Display"/>
    </x:font>
    <x:font>
      <x:sz val="10"/>
      <x:color rgb="FF166534"/>
      <x:name val="Aptos"/>
    </x:font>
    <x:font>
      <x:sz val="10"/>
      <x:color rgb="FF92400E"/>
      <x:name val="Aptos"/>
    </x:font>
    <x:font>
      <x:sz val="10"/>
      <x:color rgb="FF991B1B"/>
      <x:name val="Aptos"/>
    </x:font>
    <x:font>
      <x:sz val="10"/>
      <x:color rgb="FF57534E"/>
      <x:name val="Aptos"/>
    </x:font>
    <x:font>
      <x:sz val="10"/>
      <x:color rgb="FF1E40A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AF8F3"/>
      </x:patternFill>
    </x:fill>
    <x:fill>
      <x:patternFill patternType="solid">
        <x:fgColor rgb="FFFFFF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E7E5E4"/>
      </x:patternFill>
    </x:fill>
    <x:fill>
      <x:patternFill patternType="solid">
        <x:fgColor rgb="FFDBEAFE"/>
      </x:patternFill>
    </x:fill>
  </x:fills>
  <x:borders count="3">
    <x:border/>
    <x:border>
      <x:bottom style="thin">
        <x:color rgb="FFC9C6BE"/>
      </x:bottom>
    </x:border>
    <x:border>
      <x:top style="thin">
        <x:color rgb="FFC9C6BE"/>
      </x:top>
      <x:bottom style="thin">
        <x:color rgb="FFC9C6BE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1" xfId="0" applyNumberFormat="1" applyFont="1" applyFill="1" applyBorder="1" applyAlignment="1">
      <x:alignment horizontal="right" vertical="center" wrapText="1"/>
    </x:xf>
    <x:xf numFmtId="0" fontId="1" fillId="3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horizontal="right"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horizontal="right" vertical="center" wrapText="1"/>
    </x:xf>
    <x:xf numFmtId="201" fontId="1" fillId="4" borderId="2" xfId="0" applyNumberFormat="1" applyFont="1" applyFill="1" applyBorder="1" applyAlignment="1">
      <x:alignment horizontal="right" vertical="center" wrapText="1"/>
    </x:xf>
    <x:xf numFmtId="202" fontId="1" fillId="3" borderId="2" xfId="0" applyNumberFormat="1" applyFont="1" applyFill="1" applyBorder="1" applyAlignment="1">
      <x:alignment horizontal="right" vertical="center" wrapText="1"/>
    </x:xf>
    <x:xf numFmtId="202" fontId="1" fillId="4" borderId="2" xfId="0" applyNumberFormat="1" applyFont="1" applyFill="1" applyBorder="1" applyAlignment="1">
      <x:alignment horizontal="right" vertical="center" wrapText="1"/>
    </x:xf>
    <x:xf numFmtId="203" fontId="1" fillId="3" borderId="2" xfId="0" applyNumberFormat="1" applyFont="1" applyFill="1" applyBorder="1" applyAlignment="1">
      <x:alignment horizontal="right" vertical="center" wrapText="1"/>
    </x:xf>
    <x:xf numFmtId="203" fontId="1" fillId="4" borderId="2" xfId="0" applyNumberFormat="1" applyFont="1" applyFill="1" applyBorder="1" applyAlignment="1">
      <x:alignment horizontal="right" vertical="center" wrapText="1"/>
    </x:xf>
    <x:xf numFmtId="204" fontId="1" fillId="3" borderId="2" xfId="0" applyNumberFormat="1" applyFont="1" applyFill="1" applyBorder="1" applyAlignment="1">
      <x:alignment horizontal="right" vertical="center" wrapText="1"/>
    </x:xf>
    <x:xf numFmtId="204" fontId="1" fillId="4" borderId="2" xfId="0" applyNumberFormat="1" applyFont="1" applyFill="1" applyBorder="1" applyAlignment="1">
      <x:alignment horizontal="right" vertical="center" wrapText="1"/>
    </x:xf>
    <x:xf numFmtId="202" fontId="1" fillId="3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3" borderId="2" xfId="0" applyNumberFormat="1" applyFont="1" applyFill="1" applyBorder="1" applyAlignment="1">
      <x:alignment horizontal="right" vertical="center" wrapText="1"/>
    </x:xf>
    <x:xf numFmtId="205" fontId="1" fillId="4" borderId="2" xfId="0" applyNumberFormat="1" applyFont="1" applyFill="1" applyBorder="1" applyAlignment="1">
      <x:alignment horizontal="right" vertical="center" wrapText="1"/>
    </x:xf>
    <x:xf numFmtId="206" fontId="1" fillId="3" borderId="2" xfId="0" applyNumberFormat="1" applyFont="1" applyFill="1" applyBorder="1" applyAlignment="1">
      <x:alignment horizontal="right" vertical="center" wrapText="1"/>
    </x:xf>
    <x:xf numFmtId="206" fontId="1" fillId="4" borderId="2" xfId="0" applyNumberFormat="1" applyFont="1" applyFill="1" applyBorder="1" applyAlignment="1">
      <x:alignment horizontal="right" vertical="center" wrapText="1"/>
    </x:xf>
    <x:xf numFmtId="207" fontId="1" fillId="3" borderId="2" xfId="0" applyNumberFormat="1" applyFont="1" applyFill="1" applyBorder="1" applyAlignment="1">
      <x:alignment vertical="center" wrapText="1"/>
    </x:xf>
    <x:xf numFmtId="207" fontId="1" fillId="4" borderId="2" xfId="0" applyNumberFormat="1" applyFont="1" applyFill="1" applyBorder="1" applyAlignment="1">
      <x:alignment vertical="center" wrapText="1"/>
    </x:xf>
    <x:xf numFmtId="208" fontId="1" fillId="3" borderId="2" xfId="0" applyNumberFormat="1" applyFont="1" applyFill="1" applyBorder="1" applyAlignment="1">
      <x:alignment horizontal="right" vertical="center" wrapText="1"/>
    </x:xf>
    <x:xf numFmtId="208" fontId="1" fillId="4" borderId="2" xfId="0" applyNumberFormat="1" applyFont="1" applyFill="1" applyBorder="1" applyAlignment="1">
      <x:alignment horizontal="right"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1" fillId="6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1" fillId="7" borderId="2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1" fillId="8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7" fillId="9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2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57534E"/>
      </x:font>
      <x:fill>
        <x:patternFill patternType="solid">
          <x:bgColor rgb="FFE7E5E4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ab1876717341cf" /><Relationship Type="http://schemas.openxmlformats.org/officeDocument/2006/relationships/theme" Target="/xl/theme/theme1.xml" Id="Rdb6abccd4f0849fc" /><Relationship Type="http://schemas.microsoft.com/office/2022/11/relationships/FeaturePropertyBag" Target="/xl/featurePropertyBag/featurePropertyBag.xml" Id="R8527423c466b478e" /><Relationship Type="http://schemas.openxmlformats.org/officeDocument/2006/relationships/sharedStrings" Target="/xl/sharedStrings.xml" Id="R5154c64fb56a4758" /><Relationship Type="http://schemas.openxmlformats.org/officeDocument/2006/relationships/worksheet" Target="/xl/worksheets/sheet1.xml" Id="Rc64fa9dcb9c94f6b" /><Relationship Type="http://schemas.openxmlformats.org/officeDocument/2006/relationships/worksheet" Target="/xl/worksheets/sheet2.xml" Id="Rf1e7f41f1ec74305" /><Relationship Type="http://schemas.openxmlformats.org/officeDocument/2006/relationships/worksheet" Target="/xl/worksheets/sheet3.xml" Id="R9a47ff689dc043aa" /><Relationship Type="http://schemas.openxmlformats.org/officeDocument/2006/relationships/worksheet" Target="/xl/worksheets/sheet4.xml" Id="R6049e0f7eccc497d" /><Relationship Type="http://schemas.openxmlformats.org/officeDocument/2006/relationships/worksheet" Target="/xl/worksheets/sheet5.xml" Id="R6a0ff8c6cc604923" /><Relationship Type="http://schemas.openxmlformats.org/officeDocument/2006/relationships/worksheet" Target="/xl/worksheets/sheet6.xml" Id="R8da301dc691b4a58" /><Relationship Type="http://schemas.openxmlformats.org/officeDocument/2006/relationships/worksheet" Target="/xl/worksheets/sheet7.xml" Id="Rd76a59013c8f4752" /><Relationship Type="http://schemas.openxmlformats.org/officeDocument/2006/relationships/worksheet" Target="/xl/worksheets/sheet8.xml" Id="R7b81062a85774df5" /><Relationship Type="http://schemas.openxmlformats.org/officeDocument/2006/relationships/worksheet" Target="/xl/worksheets/sheet9.xml" Id="R0bf4b94505424f8d" /><Relationship Type="http://schemas.openxmlformats.org/officeDocument/2006/relationships/worksheet" Target="/xl/worksheets/sheet10.xml" Id="Reec2fc9ec2c14a5a" /><Relationship Type="http://schemas.openxmlformats.org/officeDocument/2006/relationships/worksheet" Target="/xl/worksheets/sheet11.xml" Id="Rb94a9dced9b14105" /><Relationship Type="http://schemas.openxmlformats.org/officeDocument/2006/relationships/worksheet" Target="/xl/worksheets/sheet12.xml" Id="Rd5f115b165ec4cb4" /><Relationship Type="http://schemas.openxmlformats.org/officeDocument/2006/relationships/worksheet" Target="/xl/worksheets/sheet13.xml" Id="Rac0d7bf55757407b" /><Relationship Type="http://schemas.openxmlformats.org/officeDocument/2006/relationships/worksheet" Target="/xl/worksheets/sheet14.xml" Id="R423898d259ac4127" /><Relationship Type="http://schemas.openxmlformats.org/officeDocument/2006/relationships/worksheet" Target="/xl/worksheets/sheet15.xml" Id="Rcb37316012ac48cf" /><Relationship Type="http://schemas.openxmlformats.org/officeDocument/2006/relationships/worksheet" Target="/xl/worksheets/sheet16.xml" Id="R1610764f9ab14b99" /><Relationship Type="http://schemas.openxmlformats.org/officeDocument/2006/relationships/worksheet" Target="/xl/worksheets/sheet17.xml" Id="R2375b31bcb3f43f6" /><Relationship Type="http://schemas.openxmlformats.org/officeDocument/2006/relationships/worksheet" Target="/xl/worksheets/sheet18.xml" Id="R0c76e2ec4c584511" /><Relationship Type="http://schemas.openxmlformats.org/officeDocument/2006/relationships/worksheet" Target="/xl/worksheets/sheet19.xml" Id="Raac6991b3b84401a" /><Relationship Type="http://schemas.openxmlformats.org/officeDocument/2006/relationships/worksheet" Target="/xl/worksheets/sheet20.xml" Id="Rf40cfdbb58c64ace" /><Relationship Type="http://schemas.openxmlformats.org/officeDocument/2006/relationships/worksheet" Target="/xl/worksheets/sheet21.xml" Id="Rddcf1b118e6d47f4" /><Relationship Type="http://schemas.openxmlformats.org/officeDocument/2006/relationships/worksheet" Target="/xl/worksheets/sheet22.xml" Id="R7c97c8d63e674403" /><Relationship Type="http://schemas.openxmlformats.org/officeDocument/2006/relationships/worksheet" Target="/xl/worksheets/sheet23.xml" Id="R0f72c2ad3f7b4f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WheelReadme" displayName="TblWheelReadme" ref="A1:D31" headerRowCount="1" totalsRowCount="0" totalsRowShown="0">
  <x:autoFilter ref="A1:D31"/>
  <x:tableColumns count="4">
    <x:tableColumn id="1" name="section"/>
    <x:tableColumn id="2" name="field"/>
    <x:tableColumn id="3" name="value"/>
    <x:tableColumn id="4" name="notes"/>
  </x:tableColumns>
  <x:tableStyleInfo name="TableStyleLight1" showFirstColumn="0" showLastColumn="0" showRowStripes="0" showColumnStripes="0"/>
</x:table>
</file>

<file path=xl/tables/table2.xml><?xml version="1.0" encoding="utf-8"?>
<x:table xmlns:x="http://schemas.openxmlformats.org/spreadsheetml/2006/main" id="2" name="TblWheelModels" displayName="TblWheelModels" ref="A1:R6" headerRowCount="1" totalsRowCount="0" totalsRowShown="0">
  <x:autoFilter ref="A1:R6"/>
  <x:tableColumns count="18">
    <x:tableColumn id="1" name="model_id"/>
    <x:tableColumn id="2" name="public_brand"/>
    <x:tableColumn id="3" name="slug"/>
    <x:tableColumn id="4" name="public_name_ru"/>
    <x:tableColumn id="5" name="public_name_en"/>
    <x:tableColumn id="6" name="positioning_key"/>
    <x:tableColumn id="7" name="product_family"/>
    <x:tableColumn id="8" name="short_description_ru"/>
    <x:tableColumn id="9" name="full_description_ru"/>
    <x:tableColumn id="10" name="default_finish_key"/>
    <x:tableColumn id="11" name="customizable"/>
    <x:tableColumn id="12" name="lifecycle_status"/>
    <x:tableColumn id="13" name="source_type"/>
    <x:tableColumn id="14" name="source_id"/>
    <x:tableColumn id="15" name="hero_media_id"/>
    <x:tableColumn id="16" name="sort_order"/>
    <x:tableColumn id="17" name="created_at"/>
    <x:tableColumn id="18" name="updated_at"/>
  </x:tableColumns>
  <x:tableStyleInfo name="TableStyleLight1" showFirstColumn="0" showLastColumn="0" showRowStripes="0" showColumnStripes="0"/>
</x:table>
</file>

<file path=xl/tables/table3.xml><?xml version="1.0" encoding="utf-8"?>
<x:table xmlns:x="http://schemas.openxmlformats.org/spreadsheetml/2006/main" id="3" name="TblWheelVariants" displayName="TblWheelVariants" ref="A1:AB21" headerRowCount="1" totalsRowCount="0" totalsRowShown="0">
  <x:autoFilter ref="A1:AB21"/>
  <x:tableColumns count="28">
    <x:tableColumn id="1" name="variant_id"/>
    <x:tableColumn id="2" name="model_id"/>
    <x:tableColumn id="3" name="sku"/>
    <x:tableColumn id="4" name="variant_name_ru"/>
    <x:tableColumn id="5" name="sale_mode"/>
    <x:tableColumn id="6" name="lifecycle_status"/>
    <x:tableColumn id="7" name="availability"/>
    <x:tableColumn id="8" name="price_rub"/>
    <x:tableColumn id="9" name="price_on_request"/>
    <x:tableColumn id="10" name="lead_time_days"/>
    <x:tableColumn id="11" name="diameter_in"/>
    <x:tableColumn id="12" name="width_in"/>
    <x:tableColumn id="13" name="offset_et_mm"/>
    <x:tableColumn id="14" name="bolt_pattern_1_holes"/>
    <x:tableColumn id="15" name="bolt_pattern_1_pcd_mm"/>
    <x:tableColumn id="16" name="bolt_pattern_2_holes"/>
    <x:tableColumn id="17" name="bolt_pattern_2_pcd_mm"/>
    <x:tableColumn id="18" name="center_bore_mm"/>
    <x:tableColumn id="19" name="max_load_kg"/>
    <x:tableColumn id="20" name="construction_type"/>
    <x:tableColumn id="21" name="platform_id"/>
    <x:tableColumn id="22" name="finish_key"/>
    <x:tableColumn id="23" name="color_key"/>
    <x:tableColumn id="24" name="source_type"/>
    <x:tableColumn id="25" name="source_id"/>
    <x:tableColumn id="26" name="sort_order"/>
    <x:tableColumn id="27" name="validation_status"/>
    <x:tableColumn id="28" name="blocks_publication"/>
  </x:tableColumns>
  <x:tableStyleInfo name="TableStyleLight1" showFirstColumn="0" showLastColumn="0" showRowStripes="0" showColumnStripes="0"/>
</x:table>
</file>

<file path=xl/tables/table4.xml><?xml version="1.0" encoding="utf-8"?>
<x:table xmlns:x="http://schemas.openxmlformats.org/spreadsheetml/2006/main" id="4" name="TblWheelModelFeatures" displayName="TblWheelModelFeatures" ref="A1:K16" headerRowCount="1" totalsRowCount="0" totalsRowShown="0">
  <x:autoFilter ref="A1:K16"/>
  <x:tableColumns count="11">
    <x:tableColumn id="1" name="feature_id"/>
    <x:tableColumn id="2" name="model_id"/>
    <x:tableColumn id="3" name="feature_order"/>
    <x:tableColumn id="4" name="feature_key"/>
    <x:tableColumn id="5" name="feature_title_ru"/>
    <x:tableColumn id="6" name="feature_description_ru"/>
    <x:tableColumn id="7" name="feature_type"/>
    <x:tableColumn id="8" name="filterable"/>
    <x:tableColumn id="9" name="lifecycle_status"/>
    <x:tableColumn id="10" name="source_type"/>
    <x:tableColumn id="11" name="source_id"/>
  </x:tableColumns>
  <x:tableStyleInfo name="TableStyleLight1" showFirstColumn="0" showLastColumn="0" showRowStripes="0" showColumnStripes="0"/>
</x:table>
</file>

<file path=xl/tables/table5.xml><?xml version="1.0" encoding="utf-8"?>
<x:table xmlns:x="http://schemas.openxmlformats.org/spreadsheetml/2006/main" id="5" name="TblWheelPlatforms" displayName="TblWheelPlatforms" ref="A1:P21" headerRowCount="1" totalsRowCount="0" totalsRowShown="0">
  <x:autoFilter ref="A1:P21"/>
  <x:tableColumns count="16">
    <x:tableColumn id="1" name="platform_id"/>
    <x:tableColumn id="2" name="model_id"/>
    <x:tableColumn id="3" name="platform_name"/>
    <x:tableColumn id="4" name="diameter_in"/>
    <x:tableColumn id="5" name="width_in"/>
    <x:tableColumn id="6" name="offset_et_min_mm"/>
    <x:tableColumn id="7" name="offset_et_max_mm"/>
    <x:tableColumn id="8" name="construction_type"/>
    <x:tableColumn id="9" name="max_load_kg"/>
    <x:tableColumn id="10" name="allowed_face_profiles"/>
    <x:tableColumn id="11" name="allowed_beadlock_types"/>
    <x:tableColumn id="12" name="allowed_finish_keys"/>
    <x:tableColumn id="13" name="brake_constraint"/>
    <x:tableColumn id="14" name="lifecycle_status"/>
    <x:tableColumn id="15" name="source_type"/>
    <x:tableColumn id="16" name="source_id"/>
  </x:tableColumns>
  <x:tableStyleInfo name="TableStyleLight1" showFirstColumn="0" showLastColumn="0" showRowStripes="0" showColumnStripes="0"/>
</x:table>
</file>

<file path=xl/tables/table6.xml><?xml version="1.0" encoding="utf-8"?>
<x:table xmlns:x="http://schemas.openxmlformats.org/spreadsheetml/2006/main" id="6" name="TblWheelAttributeRegistry" displayName="TblWheelAttributeRegistry" ref="A1:V13" headerRowCount="1" totalsRowCount="0" totalsRowShown="0">
  <x:autoFilter ref="A1:V13"/>
  <x:tableColumns count="22">
    <x:tableColumn id="1" name="attribute_key"/>
    <x:tableColumn id="2" name="label_ru"/>
    <x:tableColumn id="3" name="label_en"/>
    <x:tableColumn id="4" name="description_ru"/>
    <x:tableColumn id="5" name="entity_scope"/>
    <x:tableColumn id="6" name="category_scope"/>
    <x:tableColumn id="7" name="data_type"/>
    <x:tableColumn id="8" name="canonical_unit"/>
    <x:tableColumn id="9" name="dictionary_key"/>
    <x:tableColumn id="10" name="enabled"/>
    <x:tableColumn id="11" name="required"/>
    <x:tableColumn id="12" name="nullable"/>
    <x:tableColumn id="13" name="visible_in_card"/>
    <x:tableColumn id="14" name="visible_in_specs"/>
    <x:tableColumn id="15" name="filterable"/>
    <x:tableColumn id="16" name="display_group"/>
    <x:tableColumn id="17" name="display_order"/>
    <x:tableColumn id="18" name="payload_collection"/>
    <x:tableColumn id="19" name="payload_field_path"/>
    <x:tableColumn id="20" name="lifecycle_status"/>
    <x:tableColumn id="21" name="source_type"/>
    <x:tableColumn id="22" name="source_id"/>
  </x:tableColumns>
  <x:tableStyleInfo name="TableStyleLight1" showFirstColumn="0" showLastColumn="0" showRowStripes="0" showColumnStripes="0"/>
</x:table>
</file>

<file path=xl/tables/table7.xml><?xml version="1.0" encoding="utf-8"?>
<x:table xmlns:x="http://schemas.openxmlformats.org/spreadsheetml/2006/main" id="7" name="TblWheelAttributeValues" displayName="TblWheelAttributeValues" ref="A1:L136" headerRowCount="1" totalsRowCount="0" totalsRowShown="0">
  <x:autoFilter ref="A1:L136"/>
  <x:tableColumns count="12">
    <x:tableColumn id="1" name="value_id"/>
    <x:tableColumn id="2" name="entity_scope"/>
    <x:tableColumn id="3" name="entity_id"/>
    <x:tableColumn id="4" name="attribute_key"/>
    <x:tableColumn id="5" name="value_text"/>
    <x:tableColumn id="6" name="value_number"/>
    <x:tableColumn id="7" name="value_boolean"/>
    <x:tableColumn id="8" name="value_dictionary_key"/>
    <x:tableColumn id="9" name="value_unit"/>
    <x:tableColumn id="10" name="lifecycle_status"/>
    <x:tableColumn id="11" name="source_type"/>
    <x:tableColumn id="12" name="source_id"/>
  </x:tableColumns>
  <x:tableStyleInfo name="TableStyleLight1" showFirstColumn="0" showLastColumn="0" showRowStripes="0" showColumnStripes="0"/>
</x:table>
</file>

<file path=xl/tables/table8.xml><?xml version="1.0" encoding="utf-8"?>
<x:table xmlns:x="http://schemas.openxmlformats.org/spreadsheetml/2006/main" id="8" name="TblWheelFilterRegistry" displayName="TblWheelFilterRegistry" ref="A1:AC6" headerRowCount="1" totalsRowCount="0" totalsRowShown="0">
  <x:autoFilter ref="A1:AC6"/>
  <x:tableColumns count="29">
    <x:tableColumn id="1" name="filter_key"/>
    <x:tableColumn id="2" name="label_ru"/>
    <x:tableColumn id="3" name="short_label_ru"/>
    <x:tableColumn id="4" name="description_ru"/>
    <x:tableColumn id="5" name="entity_scope"/>
    <x:tableColumn id="6" name="source_attribute_key"/>
    <x:tableColumn id="7" name="source_kind"/>
    <x:tableColumn id="8" name="filter_type"/>
    <x:tableColumn id="9" name="query_parameter"/>
    <x:tableColumn id="10" name="url_value_type"/>
    <x:tableColumn id="11" name="multi_value"/>
    <x:tableColumn id="12" name="unit"/>
    <x:tableColumn id="13" name="display_group"/>
    <x:tableColumn id="14" name="display_order"/>
    <x:tableColumn id="15" name="open_by_default_desktop"/>
    <x:tableColumn id="16" name="open_by_default_mobile"/>
    <x:tableColumn id="17" name="show_count"/>
    <x:tableColumn id="18" name="show_zero_values"/>
    <x:tableColumn id="19" name="zero_value_behavior"/>
    <x:tableColumn id="20" name="searchable_inside_filter"/>
    <x:tableColumn id="21" name="sort_mode"/>
    <x:tableColumn id="22" name="seo_policy"/>
    <x:tableColumn id="23" name="analytics_event_key"/>
    <x:tableColumn id="24" name="payload_query_strategy"/>
    <x:tableColumn id="25" name="db_index_recommended"/>
    <x:tableColumn id="26" name="enabled"/>
    <x:tableColumn id="27" name="lifecycle_status"/>
    <x:tableColumn id="28" name="source_type"/>
    <x:tableColumn id="29" name="source_id"/>
  </x:tableColumns>
  <x:tableStyleInfo name="TableStyleLight1" showFirstColumn="0" showLastColumn="0" showRowStripes="0" showColumnStripes="0"/>
</x:table>
</file>

<file path=xl/tables/table9.xml><?xml version="1.0" encoding="utf-8"?>
<x:table xmlns:x="http://schemas.openxmlformats.org/spreadsheetml/2006/main" id="9" name="TblWheelFilterValues" displayName="TblWheelFilterValues" ref="A1:O18" headerRowCount="1" totalsRowCount="0" totalsRowShown="0">
  <x:autoFilter ref="A1:O18"/>
  <x:tableColumns count="15">
    <x:tableColumn id="1" name="filter_value_id"/>
    <x:tableColumn id="2" name="filter_key"/>
    <x:tableColumn id="3" name="value_key"/>
    <x:tableColumn id="4" name="label_ru"/>
    <x:tableColumn id="5" name="value_number"/>
    <x:tableColumn id="6" name="value_text"/>
    <x:tableColumn id="7" name="value_min"/>
    <x:tableColumn id="8" name="value_max"/>
    <x:tableColumn id="9" name="unit"/>
    <x:tableColumn id="10" name="variant_count"/>
    <x:tableColumn id="11" name="sort_order"/>
    <x:tableColumn id="12" name="enabled"/>
    <x:tableColumn id="13" name="lifecycle_status"/>
    <x:tableColumn id="14" name="source_type"/>
    <x:tableColumn id="15" name="source_id"/>
  </x:tableColumns>
  <x:tableStyleInfo name="TableStyleLight1" showFirstColumn="0" showLastColumn="0" showRowStripes="0" showColumnStripes="0"/>
</x:table>
</file>

<file path=xl/tables/table10.xml><?xml version="1.0" encoding="utf-8"?>
<x:table xmlns:x="http://schemas.openxmlformats.org/spreadsheetml/2006/main" id="10" name="TblWheelDictionaries" displayName="TblWheelDictionaries" ref="A1:I50" headerRowCount="1" totalsRowCount="0" totalsRowShown="0">
  <x:autoFilter ref="A1:I50"/>
  <x:tableColumns count="9">
    <x:tableColumn id="1" name="dictionary_key"/>
    <x:tableColumn id="2" name="value_key"/>
    <x:tableColumn id="3" name="label_ru"/>
    <x:tableColumn id="4" name="label_en"/>
    <x:tableColumn id="5" name="sort_order"/>
    <x:tableColumn id="6" name="enabled"/>
    <x:tableColumn id="7" name="lifecycle_status"/>
    <x:tableColumn id="8" name="source_type"/>
    <x:tableColumn id="9" name="source_id"/>
  </x:tableColumns>
  <x:tableStyleInfo name="TableStyleLight1" showFirstColumn="0" showLastColumn="0" showRowStripes="0" showColumnStripes="0"/>
</x:table>
</file>

<file path=xl/tables/table11.xml><?xml version="1.0" encoding="utf-8"?>
<x:table xmlns:x="http://schemas.openxmlformats.org/spreadsheetml/2006/main" id="11" name="TblWheelVehicles" displayName="TblWheelVehicles" ref="A1:T9" headerRowCount="1" totalsRowCount="0" totalsRowShown="0">
  <x:autoFilter ref="A1:T9"/>
  <x:tableColumns count="20">
    <x:tableColumn id="1" name="vehicle_id"/>
    <x:tableColumn id="2" name="make"/>
    <x:tableColumn id="3" name="model"/>
    <x:tableColumn id="4" name="generation"/>
    <x:tableColumn id="5" name="year_from"/>
    <x:tableColumn id="6" name="year_to"/>
    <x:tableColumn id="7" name="trim"/>
    <x:tableColumn id="8" name="body_type"/>
    <x:tableColumn id="9" name="drivetrain"/>
    <x:tableColumn id="10" name="bolt_holes"/>
    <x:tableColumn id="11" name="pcd_mm"/>
    <x:tableColumn id="12" name="hub_bore_mm"/>
    <x:tableColumn id="13" name="front_axle_max_kg"/>
    <x:tableColumn id="14" name="rear_axle_max_kg"/>
    <x:tableColumn id="15" name="front_brake_package"/>
    <x:tableColumn id="16" name="rear_brake_package"/>
    <x:tableColumn id="17" name="brake_verification_status"/>
    <x:tableColumn id="18" name="lifecycle_status"/>
    <x:tableColumn id="19" name="source_type"/>
    <x:tableColumn id="20" name="source_id"/>
  </x:tableColumns>
  <x:tableStyleInfo name="TableStyleLight1" showFirstColumn="0" showLastColumn="0" showRowStripes="0" showColumnStripes="0"/>
</x:table>
</file>

<file path=xl/tables/table12.xml><?xml version="1.0" encoding="utf-8"?>
<x:table xmlns:x="http://schemas.openxmlformats.org/spreadsheetml/2006/main" id="12" name="TblWheelFitmentSets" displayName="TblWheelFitmentSets" ref="A1:M11" headerRowCount="1" totalsRowCount="0" totalsRowShown="0">
  <x:autoFilter ref="A1:M11"/>
  <x:tableColumns count="13">
    <x:tableColumn id="1" name="fitment_set_id"/>
    <x:tableColumn id="2" name="vehicle_id"/>
    <x:tableColumn id="3" name="model_id"/>
    <x:tableColumn id="4" name="fitment_status"/>
    <x:tableColumn id="5" name="square_or_staggered"/>
    <x:tableColumn id="6" name="installation_kit_id"/>
    <x:tableColumn id="7" name="spacers_required"/>
    <x:tableColumn id="8" name="adapters_required"/>
    <x:tableColumn id="9" name="brake_clearance_status"/>
    <x:tableColumn id="10" name="conditions_ru"/>
    <x:tableColumn id="11" name="lifecycle_status"/>
    <x:tableColumn id="12" name="source_type"/>
    <x:tableColumn id="13" name="source_id"/>
  </x:tableColumns>
  <x:tableStyleInfo name="TableStyleLight1" showFirstColumn="0" showLastColumn="0" showRowStripes="0" showColumnStripes="0"/>
</x:table>
</file>

<file path=xl/tables/table13.xml><?xml version="1.0" encoding="utf-8"?>
<x:table xmlns:x="http://schemas.openxmlformats.org/spreadsheetml/2006/main" id="13" name="TblWheelFitmentAxles" displayName="TblWheelFitmentAxles" ref="A1:M21" headerRowCount="1" totalsRowCount="0" totalsRowShown="0">
  <x:autoFilter ref="A1:M21"/>
  <x:tableColumns count="13">
    <x:tableColumn id="1" name="fitment_axle_id"/>
    <x:tableColumn id="2" name="fitment_set_id"/>
    <x:tableColumn id="3" name="axle_position"/>
    <x:tableColumn id="4" name="variant_id"/>
    <x:tableColumn id="5" name="quantity"/>
    <x:tableColumn id="6" name="recommended_tire_size"/>
    <x:tableColumn id="7" name="axle_max_kg"/>
    <x:tableColumn id="8" name="wheel_max_load_kg"/>
    <x:tableColumn id="9" name="load_required_per_wheel_kg"/>
    <x:tableColumn id="10" name="load_check"/>
    <x:tableColumn id="11" name="lifecycle_status"/>
    <x:tableColumn id="12" name="source_type"/>
    <x:tableColumn id="13" name="source_id"/>
  </x:tableColumns>
  <x:tableStyleInfo name="TableStyleLight1" showFirstColumn="0" showLastColumn="0" showRowStripes="0" showColumnStripes="0"/>
</x:table>
</file>

<file path=xl/tables/table14.xml><?xml version="1.0" encoding="utf-8"?>
<x:table xmlns:x="http://schemas.openxmlformats.org/spreadsheetml/2006/main" id="14" name="TblWheelInstallationKits" displayName="TblWheelInstallationKits" ref="A1:O9" headerRowCount="1" totalsRowCount="0" totalsRowShown="0">
  <x:autoFilter ref="A1:O9"/>
  <x:tableColumns count="15">
    <x:tableColumn id="1" name="installation_kit_id"/>
    <x:tableColumn id="2" name="kit_name_ru"/>
    <x:tableColumn id="3" name="fastener_type"/>
    <x:tableColumn id="4" name="thread_spec"/>
    <x:tableColumn id="5" name="seat_type"/>
    <x:tableColumn id="6" name="fastener_length_mm"/>
    <x:tableColumn id="7" name="fastener_quantity"/>
    <x:tableColumn id="8" name="ring_outer_mm"/>
    <x:tableColumn id="9" name="ring_inner_mm"/>
    <x:tableColumn id="10" name="tightening_torque_nm"/>
    <x:tableColumn id="11" name="spacers_allowed"/>
    <x:tableColumn id="12" name="pcd_adapters_allowed"/>
    <x:tableColumn id="13" name="lifecycle_status"/>
    <x:tableColumn id="14" name="source_type"/>
    <x:tableColumn id="15" name="source_id"/>
  </x:tableColumns>
  <x:tableStyleInfo name="TableStyleLight1" showFirstColumn="0" showLastColumn="0" showRowStripes="0" showColumnStripes="0"/>
</x:table>
</file>

<file path=xl/tables/table15.xml><?xml version="1.0" encoding="utf-8"?>
<x:table xmlns:x="http://schemas.openxmlformats.org/spreadsheetml/2006/main" id="15" name="TblWheelMediaMapping" displayName="TblWheelMediaMapping" ref="A1:K21" headerRowCount="1" totalsRowCount="0" totalsRowShown="0">
  <x:autoFilter ref="A1:K21"/>
  <x:tableColumns count="11">
    <x:tableColumn id="1" name="media_id"/>
    <x:tableColumn id="2" name="model_id"/>
    <x:tableColumn id="3" name="asset_path"/>
    <x:tableColumn id="4" name="media_role"/>
    <x:tableColumn id="5" name="alt_text_ru"/>
    <x:tableColumn id="6" name="display_order"/>
    <x:tableColumn id="7" name="payload_collection"/>
    <x:tableColumn id="8" name="payload_field"/>
    <x:tableColumn id="9" name="lifecycle_status"/>
    <x:tableColumn id="10" name="source_type"/>
    <x:tableColumn id="11" name="source_id"/>
  </x:tableColumns>
  <x:tableStyleInfo name="TableStyleLight1" showFirstColumn="0" showLastColumn="0" showRowStripes="0" showColumnStripes="0"/>
</x:table>
</file>

<file path=xl/tables/table16.xml><?xml version="1.0" encoding="utf-8"?>
<x:table xmlns:x="http://schemas.openxmlformats.org/spreadsheetml/2006/main" id="16" name="TblWheelSourceMapping" displayName="TblWheelSourceMapping" ref="A1:J4" headerRowCount="1" totalsRowCount="0" totalsRowShown="0">
  <x:autoFilter ref="A1:J4"/>
  <x:tableColumns count="10">
    <x:tableColumn id="1" name="source_id"/>
    <x:tableColumn id="2" name="source_type"/>
    <x:tableColumn id="3" name="source_name"/>
    <x:tableColumn id="4" name="source_location"/>
    <x:tableColumn id="5" name="source_url_or_path"/>
    <x:tableColumn id="6" name="applies_to"/>
    <x:tableColumn id="7" name="owner"/>
    <x:tableColumn id="8" name="verification_date"/>
    <x:tableColumn id="9" name="verification_status"/>
    <x:tableColumn id="10" name="notes"/>
  </x:tableColumns>
  <x:tableStyleInfo name="TableStyleLight1" showFirstColumn="0" showLastColumn="0" showRowStripes="0" showColumnStripes="0"/>
</x:table>
</file>

<file path=xl/tables/table17.xml><?xml version="1.0" encoding="utf-8"?>
<x:table xmlns:x="http://schemas.openxmlformats.org/spreadsheetml/2006/main" id="17" name="TblWheelPayloadMapping" displayName="TblWheelPayloadMapping" ref="A1:M31" headerRowCount="1" totalsRowCount="0" totalsRowShown="0">
  <x:autoFilter ref="A1:M31"/>
  <x:tableColumns count="13">
    <x:tableColumn id="1" name="mapping_id"/>
    <x:tableColumn id="2" name="source_sheet"/>
    <x:tableColumn id="3" name="source_field"/>
    <x:tableColumn id="4" name="entity_scope"/>
    <x:tableColumn id="5" name="payload_collection"/>
    <x:tableColumn id="6" name="payload_field_path"/>
    <x:tableColumn id="7" name="payload_data_type"/>
    <x:tableColumn id="8" name="required"/>
    <x:tableColumn id="9" name="migration_strategy"/>
    <x:tableColumn id="10" name="transform_rule"/>
    <x:tableColumn id="11" name="lifecycle_status"/>
    <x:tableColumn id="12" name="source_type"/>
    <x:tableColumn id="13" name="source_id"/>
  </x:tableColumns>
  <x:tableStyleInfo name="TableStyleLight1" showFirstColumn="0" showLastColumn="0" showRowStripes="0" showColumnStripes="0"/>
</x:table>
</file>

<file path=xl/tables/table18.xml><?xml version="1.0" encoding="utf-8"?>
<x:table xmlns:x="http://schemas.openxmlformats.org/spreadsheetml/2006/main" id="18" name="TblWheelDbSchema" displayName="TblWheelDbSchema" ref="A1:O31" headerRowCount="1" totalsRowCount="0" totalsRowShown="0">
  <x:autoFilter ref="A1:O31"/>
  <x:tableColumns count="15">
    <x:tableColumn id="1" name="schema_record_id"/>
    <x:tableColumn id="2" name="logical_entity"/>
    <x:tableColumn id="3" name="logical_field"/>
    <x:tableColumn id="4" name="storage_layer"/>
    <x:tableColumn id="5" name="proposed_table_or_collection"/>
    <x:tableColumn id="6" name="proposed_column_or_path"/>
    <x:tableColumn id="7" name="data_type"/>
    <x:tableColumn id="8" name="nullable"/>
    <x:tableColumn id="9" name="indexed"/>
    <x:tableColumn id="10" name="unique"/>
    <x:tableColumn id="11" name="foreign_key_target"/>
    <x:tableColumn id="12" name="notes"/>
    <x:tableColumn id="13" name="lifecycle_status"/>
    <x:tableColumn id="14" name="source_type"/>
    <x:tableColumn id="15" name="source_id"/>
  </x:tableColumns>
  <x:tableStyleInfo name="TableStyleLight1" showFirstColumn="0" showLastColumn="0" showRowStripes="0" showColumnStripes="0"/>
</x:table>
</file>

<file path=xl/tables/table19.xml><?xml version="1.0" encoding="utf-8"?>
<x:table xmlns:x="http://schemas.openxmlformats.org/spreadsheetml/2006/main" id="19" name="TblWheelQaIssues" displayName="TblWheelQaIssues" ref="A1:M4" headerRowCount="1" totalsRowCount="0" totalsRowShown="0">
  <x:autoFilter ref="A1:M4"/>
  <x:tableColumns count="13">
    <x:tableColumn id="1" name="issue_id"/>
    <x:tableColumn id="2" name="entity_scope"/>
    <x:tableColumn id="3" name="entity_id"/>
    <x:tableColumn id="4" name="rule_key"/>
    <x:tableColumn id="5" name="severity"/>
    <x:tableColumn id="6" name="status"/>
    <x:tableColumn id="7" name="issue_ru"/>
    <x:tableColumn id="8" name="resolution_ru"/>
    <x:tableColumn id="9" name="owner"/>
    <x:tableColumn id="10" name="blocks_publication"/>
    <x:tableColumn id="11" name="detected_at"/>
    <x:tableColumn id="12" name="resolved_at"/>
    <x:tableColumn id="13" name="source_id"/>
  </x:tableColumns>
  <x:tableStyleInfo name="TableStyleLight1" showFirstColumn="0" showLastColumn="0" showRowStripes="0" showColumnStripes="0"/>
</x:table>
</file>

<file path=xl/tables/table20.xml><?xml version="1.0" encoding="utf-8"?>
<x:table xmlns:x="http://schemas.openxmlformats.org/spreadsheetml/2006/main" id="20" name="TblWheelValidationRules" displayName="TblWheelValidationRules" ref="A1:K16" headerRowCount="1" totalsRowCount="0" totalsRowShown="0">
  <x:autoFilter ref="A1:K16"/>
  <x:tableColumns count="11">
    <x:tableColumn id="1" name="rule_id"/>
    <x:tableColumn id="2" name="rule_key"/>
    <x:tableColumn id="3" name="entity_scope"/>
    <x:tableColumn id="4" name="severity"/>
    <x:tableColumn id="5" name="description_ru"/>
    <x:tableColumn id="6" name="validation_logic"/>
    <x:tableColumn id="7" name="blocks_publication"/>
    <x:tableColumn id="8" name="enabled"/>
    <x:tableColumn id="9" name="lifecycle_status"/>
    <x:tableColumn id="10" name="source_type"/>
    <x:tableColumn id="11" name="source_id"/>
  </x:tableColumns>
  <x:tableStyleInfo name="TableStyleLight1" showFirstColumn="0" showLastColumn="0" showRowStripes="0" showColumnStripes="0"/>
</x:table>
</file>

<file path=xl/tables/table21.xml><?xml version="1.0" encoding="utf-8"?>
<x:table xmlns:x="http://schemas.openxmlformats.org/spreadsheetml/2006/main" id="21" name="TblWheelCmsImport" displayName="TblWheelCmsImport" ref="A1:AC21" headerRowCount="1" totalsRowCount="0" totalsRowShown="0">
  <x:autoFilter ref="A1:AC21"/>
  <x:tableColumns count="29">
    <x:tableColumn id="1" name="variant_id"/>
    <x:tableColumn id="2" name="model_id"/>
    <x:tableColumn id="3" name="model_slug"/>
    <x:tableColumn id="4" name="model_name_ru"/>
    <x:tableColumn id="5" name="sku"/>
    <x:tableColumn id="6" name="variant_name_ru"/>
    <x:tableColumn id="7" name="lifecycle_status"/>
    <x:tableColumn id="8" name="sale_mode"/>
    <x:tableColumn id="9" name="availability"/>
    <x:tableColumn id="10" name="price_rub"/>
    <x:tableColumn id="11" name="price_on_request"/>
    <x:tableColumn id="12" name="lead_time_days"/>
    <x:tableColumn id="13" name="diameter_in"/>
    <x:tableColumn id="14" name="width_in"/>
    <x:tableColumn id="15" name="offset_et_mm"/>
    <x:tableColumn id="16" name="bolt_pattern_1_holes"/>
    <x:tableColumn id="17" name="bolt_pattern_1_pcd_mm"/>
    <x:tableColumn id="18" name="bolt_pattern_2_holes"/>
    <x:tableColumn id="19" name="bolt_pattern_2_pcd_mm"/>
    <x:tableColumn id="20" name="center_bore_mm"/>
    <x:tableColumn id="21" name="max_load_kg"/>
    <x:tableColumn id="22" name="construction_type"/>
    <x:tableColumn id="23" name="beadlock_type"/>
    <x:tableColumn id="24" name="face_profile"/>
    <x:tableColumn id="25" name="weight_kg"/>
    <x:tableColumn id="26" name="finish_type"/>
    <x:tableColumn id="27" name="color_key"/>
    <x:tableColumn id="28" name="source_type"/>
    <x:tableColumn id="29" name="import_ready"/>
  </x:tableColumns>
  <x:tableStyleInfo name="TableStyleLight1" showFirstColumn="0" showLastColumn="0" showRowStripes="0" showColumnStripes="0"/>
</x:table>
</file>

<file path=xl/tables/table22.xml><?xml version="1.0" encoding="utf-8"?>
<x:table xmlns:x="http://schemas.openxmlformats.org/spreadsheetml/2006/main" id="22" name="TblWheelCatalogView" displayName="TblWheelCatalogView" ref="A1:Y21" headerRowCount="1" totalsRowCount="0" totalsRowShown="0">
  <x:autoFilter ref="A1:Y21"/>
  <x:tableColumns count="25">
    <x:tableColumn id="1" name="model_name_ru"/>
    <x:tableColumn id="2" name="model_slug"/>
    <x:tableColumn id="3" name="positioning_key"/>
    <x:tableColumn id="4" name="variant_name_ru"/>
    <x:tableColumn id="5" name="sku"/>
    <x:tableColumn id="6" name="diameter_in"/>
    <x:tableColumn id="7" name="width_in"/>
    <x:tableColumn id="8" name="offset_et_mm"/>
    <x:tableColumn id="9" name="pcd_display"/>
    <x:tableColumn id="10" name="center_bore_mm"/>
    <x:tableColumn id="11" name="max_load_kg"/>
    <x:tableColumn id="12" name="construction_type"/>
    <x:tableColumn id="13" name="beadlock_type"/>
    <x:tableColumn id="14" name="face_profile"/>
    <x:tableColumn id="15" name="weight_kg"/>
    <x:tableColumn id="16" name="finish_type"/>
    <x:tableColumn id="17" name="color_key"/>
    <x:tableColumn id="18" name="sale_mode"/>
    <x:tableColumn id="19" name="availability"/>
    <x:tableColumn id="20" name="price_rub"/>
    <x:tableColumn id="21" name="price_on_request"/>
    <x:tableColumn id="22" name="lead_time_days"/>
    <x:tableColumn id="23" name="lifecycle_status"/>
    <x:tableColumn id="24" name="source_type"/>
    <x:tableColumn id="25" name="import_ready"/>
  </x:tableColumns>
  <x:tableStyleInfo name="TableStyleLight1" showFirstColumn="0" showLastColumn="0" showRowStripes="0" showColumnStripes="0"/>
</x:table>
</file>

<file path=xl/tables/table23.xml><?xml version="1.0" encoding="utf-8"?>
<x:table xmlns:x="http://schemas.openxmlformats.org/spreadsheetml/2006/main" id="23" name="TblWheelChangelog" displayName="TblWheelChangelog" ref="A1:K2" headerRowCount="1" totalsRowCount="0" totalsRowShown="0">
  <x:autoFilter ref="A1:K2"/>
  <x:tableColumns count="11">
    <x:tableColumn id="1" name="change_id"/>
    <x:tableColumn id="2" name="version"/>
    <x:tableColumn id="3" name="changed_at"/>
    <x:tableColumn id="4" name="changed_by"/>
    <x:tableColumn id="5" name="change_type"/>
    <x:tableColumn id="6" name="affected_sheets"/>
    <x:tableColumn id="7" name="summary_ru"/>
    <x:tableColumn id="8" name="reason_ru"/>
    <x:tableColumn id="9" name="approved_by"/>
    <x:tableColumn id="10" name="approval_status"/>
    <x:tableColumn id="11" name="source_id"/>
  </x:tableColumns>
  <x:tableStyleInfo name="TableStyleLight1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b0c51b038647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91901fd10c43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ad69222daf4b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12eeab5d1341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4c08f7ff46a45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b6f30d640e84f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afab811219e45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0f8f9ecca1b4d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5cd642201614fc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77210c009f045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250a33f44b7450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2d6f81ee1c845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2670c5cecfe426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ddcfe132ac046f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87d1cfec7af41a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c03d954e043443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99ea5cbb86f7492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931a79900c04fc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14a52a6698284ad8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70272e2a51041d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67321484e8a428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885a4cbe4ead4a6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2b5d89a3d3948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38" hidden="0" customWidth="1"/>
    <x:col min="4" max="4" width="44" hidden="0" customWidth="1"/>
  </x:cols>
  <x:sheetData>
    <x:row r="1" ht="30" customHeight="1">
      <x:c r="A1" s="8" t="str">
        <x:v>section</x:v>
      </x:c>
      <x:c r="B1" s="8" t="str">
        <x:v>field</x:v>
      </x:c>
      <x:c r="C1" s="8" t="str">
        <x:v>value</x:v>
      </x:c>
      <x:c r="D1" s="8" t="str">
        <x:v>notes</x:v>
      </x:c>
    </x:row>
    <x:row r="2" ht="15" hidden="0" customHeight="1">
      <x:c r="A2" s="9" t="str">
        <x:v>Общая информация</x:v>
      </x:c>
      <x:c r="B2" s="9" t="str">
        <x:v>Название проекта</x:v>
      </x:c>
      <x:c r="C2" s="9" t="str">
        <x:v>BIZON</x:v>
      </x:c>
      <x:c r="D2" s="9"/>
    </x:row>
    <x:row r="3" ht="24" hidden="0" customHeight="1">
      <x:c r="A3" s="10" t="str">
        <x:v>Общая информация</x:v>
      </x:c>
      <x:c r="B3" s="10" t="str">
        <x:v>Тип каталога</x:v>
      </x:c>
      <x:c r="C3" s="10" t="str">
        <x:v>Кованые диски для легковых автомобилей, SUV и пикапов</x:v>
      </x:c>
      <x:c r="D3" s="10" t="str">
        <x:v>Грузовые диски исключены.</x:v>
      </x:c>
    </x:row>
    <x:row r="4" ht="15" hidden="0" customHeight="1">
      <x:c r="A4" s="9" t="str">
        <x:v>Общая информация</x:v>
      </x:c>
      <x:c r="B4" s="9" t="str">
        <x:v>Public brand</x:v>
      </x:c>
      <x:c r="C4" s="9" t="str">
        <x:v>BIZON</x:v>
      </x:c>
      <x:c r="D4" s="9"/>
    </x:row>
    <x:row r="5" ht="24" hidden="0" customHeight="1">
      <x:c r="A5" s="10" t="str">
        <x:v>Общая информация</x:v>
      </x:c>
      <x:c r="B5" s="10" t="str">
        <x:v>Режим данных</x:v>
      </x:c>
      <x:c r="C5" s="10" t="str">
        <x:v>test / internal_demo / published</x:v>
      </x:c>
      <x:c r="D5" s="10" t="str">
        <x:v>Примерные значения разрешены владельцем к публикации и будут заменены на дальнейших стадиях.</x:v>
      </x:c>
    </x:row>
    <x:row r="6" ht="15" hidden="0" customHeight="1">
      <x:c r="A6" s="9" t="str">
        <x:v>Общая информация</x:v>
      </x:c>
      <x:c r="B6" s="9" t="str">
        <x:v>Версия файла</x:v>
      </x:c>
      <x:c r="C6" s="9" t="str">
        <x:v>1.0.0</x:v>
      </x:c>
      <x:c r="D6" s="9"/>
    </x:row>
    <x:row r="7" ht="15" hidden="0" customHeight="1">
      <x:c r="A7" s="10" t="str">
        <x:v>Общая информация</x:v>
      </x:c>
      <x:c r="B7" s="10" t="str">
        <x:v>Дата создания</x:v>
      </x:c>
      <x:c r="C7" s="10" t="str">
        <x:v>2026-07-26</x:v>
      </x:c>
      <x:c r="D7" s="10"/>
    </x:row>
    <x:row r="8" ht="24" hidden="0" customHeight="1">
      <x:c r="A8" s="9" t="str">
        <x:v>Общая информация</x:v>
      </x:c>
      <x:c r="B8" s="9" t="str">
        <x:v>Статус</x:v>
      </x:c>
      <x:c r="C8" s="9" t="str">
        <x:v>published</x:v>
      </x:c>
      <x:c r="D8" s="9" t="str">
        <x:v>Excel SSOT является текущим результатом; Payload и frontend не изменены.</x:v>
      </x:c>
    </x:row>
    <x:row r="9" ht="15" hidden="0" customHeight="1">
      <x:c r="A9" s="10" t="str">
        <x:v>Статистика</x:v>
      </x:c>
      <x:c r="B9" s="10" t="str">
        <x:v>Модели</x:v>
      </x:c>
      <x:c r="C9" s="10" t="n">
        <x:v>5</x:v>
      </x:c>
      <x:c r="D9" s="10" t="str">
        <x:v>Atlas, Vector, Nomad, Ember, Bastion.</x:v>
      </x:c>
    </x:row>
    <x:row r="10" ht="15" hidden="0" customHeight="1">
      <x:c r="A10" s="9" t="str">
        <x:v>Статистика</x:v>
      </x:c>
      <x:c r="B10" s="9" t="str">
        <x:v>Варианты</x:v>
      </x:c>
      <x:c r="C10" s="9" t="n">
        <x:v>20</x:v>
      </x:c>
      <x:c r="D10" s="9" t="str">
        <x:v>Складские SKU и заказные конфигурации.</x:v>
      </x:c>
    </x:row>
    <x:row r="11" ht="15" hidden="0" customHeight="1">
      <x:c r="A11" s="10" t="str">
        <x:v>Статистика</x:v>
      </x:c>
      <x:c r="B11" s="10" t="str">
        <x:v>Автомобили</x:v>
      </x:c>
      <x:c r="C11" s="10" t="n">
        <x:v>8</x:v>
      </x:c>
      <x:c r="D11" s="10" t="str">
        <x:v>Демонстрационная матрица применяемости.</x:v>
      </x:c>
    </x:row>
    <x:row r="12" ht="15" hidden="0" customHeight="1">
      <x:c r="A12" s="9" t="str">
        <x:v>Статистика</x:v>
      </x:c>
      <x:c r="B12" s="9" t="str">
        <x:v>Комплекты применяемости</x:v>
      </x:c>
      <x:c r="C12" s="9" t="n">
        <x:v>10</x:v>
      </x:c>
      <x:c r="D12" s="9" t="str">
        <x:v>Обычные и разноширокие комплекты.</x:v>
      </x:c>
    </x:row>
    <x:row r="13" ht="15" hidden="0" customHeight="1">
      <x:c r="A13" s="10" t="str">
        <x:v>Статистика</x:v>
      </x:c>
      <x:c r="B13" s="10" t="str">
        <x:v>Активные фильтры</x:v>
      </x:c>
      <x:c r="C13" s="10" t="n">
        <x:v>5</x:v>
      </x:c>
      <x:c r="D13" s="10" t="str">
        <x:v>Диаметр, ширина, ET, конструкция, beadlock.</x:v>
      </x:c>
    </x:row>
    <x:row r="14" ht="24" hidden="0" customHeight="1">
      <x:c r="A14" s="9" t="str">
        <x:v>Архитектура</x:v>
      </x:c>
      <x:c r="B14" s="9" t="str">
        <x:v>Основная связь</x:v>
      </x:c>
      <x:c r="C14" s="9" t="str">
        <x:v>WHEEL_MODELS -&gt; WHEEL_VARIANTS -&gt; ATTRIBUTE_VALUES</x:v>
      </x:c>
      <x:c r="D14" s="9" t="str">
        <x:v>Стабильные ID связывают сущности.</x:v>
      </x:c>
    </x:row>
    <x:row r="15" ht="24" hidden="0" customHeight="1">
      <x:c r="A15" s="10" t="str">
        <x:v>Архитектура</x:v>
      </x:c>
      <x:c r="B15" s="10" t="str">
        <x:v>Производство</x:v>
      </x:c>
      <x:c r="C15" s="10" t="str">
        <x:v>WHEEL_MODELS -&gt; PRODUCTION_PLATFORMS</x:v>
      </x:c>
      <x:c r="D15" s="10" t="str">
        <x:v>Платформа описывает допустимые сочетания, а не произвольные независимые диапазоны.</x:v>
      </x:c>
    </x:row>
    <x:row r="16" ht="15" hidden="0" customHeight="1">
      <x:c r="A16" s="9" t="str">
        <x:v>Архитектура</x:v>
      </x:c>
      <x:c r="B16" s="9" t="str">
        <x:v>Применяемость</x:v>
      </x:c>
      <x:c r="C16" s="9" t="str">
        <x:v>VEHICLES -&gt; FITMENT_SETS -&gt; FITMENT_AXLES</x:v>
      </x:c>
      <x:c r="D16" s="9" t="str">
        <x:v>Монтажный комплект задаётся отдельно.</x:v>
      </x:c>
    </x:row>
    <x:row r="17" ht="24" hidden="0" customHeight="1">
      <x:c r="A17" s="10" t="str">
        <x:v>Архитектура</x:v>
      </x:c>
      <x:c r="B17" s="10" t="str">
        <x:v>Управление</x:v>
      </x:c>
      <x:c r="C17" s="10" t="str">
        <x:v>ATTRIBUTE_REGISTRY + FILTER_REGISTRY</x:v>
      </x:c>
      <x:c r="D17" s="10" t="str">
        <x:v>Наличие характеристики и участие в фильтрации управляются независимо.</x:v>
      </x:c>
    </x:row>
    <x:row r="18" ht="15" hidden="0" customHeight="1">
      <x:c r="A18" s="9" t="str">
        <x:v>Правила</x:v>
      </x:c>
      <x:c r="B18" s="9" t="str">
        <x:v>Системные ключи</x:v>
      </x:c>
      <x:c r="C18" s="9" t="str">
        <x:v>Не переводить и не менять после публикации</x:v>
      </x:c>
      <x:c r="D18" s="9"/>
    </x:row>
    <x:row r="19" ht="24" hidden="0" customHeight="1">
      <x:c r="A19" s="10" t="str">
        <x:v>Правила</x:v>
      </x:c>
      <x:c r="B19" s="10" t="str">
        <x:v>Единицы</x:v>
      </x:c>
      <x:c r="C19" s="10" t="str">
        <x:v>Диаметр/ширина inch; PCD/ET/DIA mm; масса/нагрузка kg; момент N·m</x:v>
      </x:c>
      <x:c r="D19" s="10" t="str">
        <x:v>В ячейках хранятся числа без единиц.</x:v>
      </x:c>
    </x:row>
    <x:row r="20" ht="15" hidden="0" customHeight="1">
      <x:c r="A20" s="9" t="str">
        <x:v>Правила</x:v>
      </x:c>
      <x:c r="B20" s="9" t="str">
        <x:v>Новые характеристики</x:v>
      </x:c>
      <x:c r="C20" s="9" t="str">
        <x:v>Сначала добавить в ATTRIBUTE_REGISTRY</x:v>
      </x:c>
      <x:c r="D20" s="9" t="str">
        <x:v>Затем добавить значение в ATTRIBUTE_VALUES.</x:v>
      </x:c>
    </x:row>
    <x:row r="21" ht="24" hidden="0" customHeight="1">
      <x:c r="A21" s="10" t="str">
        <x:v>Правила</x:v>
      </x:c>
      <x:c r="B21" s="10" t="str">
        <x:v>Новые фильтры</x:v>
      </x:c>
      <x:c r="C21" s="10" t="str">
        <x:v>Сначала включить в FILTER_REGISTRY</x:v>
      </x:c>
      <x:c r="D21" s="10" t="str">
        <x:v>FILTER_VALUES формируется только из опубликованных допустимых вариантов.</x:v>
      </x:c>
    </x:row>
    <x:row r="22" ht="15" hidden="0" customHeight="1">
      <x:c r="A22" s="9" t="str">
        <x:v>Правила</x:v>
      </x:c>
      <x:c r="B22" s="9" t="str">
        <x:v>Удаление</x:v>
      </x:c>
      <x:c r="C22" s="9" t="str">
        <x:v>Не удалять строки; использовать archived</x:v>
      </x:c>
      <x:c r="D22" s="9"/>
    </x:row>
    <x:row r="23" ht="15" hidden="0" customHeight="1">
      <x:c r="A23" s="10" t="str">
        <x:v>Правила</x:v>
      </x:c>
      <x:c r="B23" s="10" t="str">
        <x:v>PCD</x:v>
      </x:c>
      <x:c r="C23" s="10" t="str">
        <x:v>Не хранить свободным текстом</x:v>
      </x:c>
      <x:c r="D23" s="10" t="str">
        <x:v>Использовать отдельные поля holes + pcd_mm.</x:v>
      </x:c>
    </x:row>
    <x:row r="24" ht="24" hidden="0" customHeight="1">
      <x:c r="A24" s="9" t="str">
        <x:v>Правила</x:v>
      </x:c>
      <x:c r="B24" s="9" t="str">
        <x:v>QA</x:v>
      </x:c>
      <x:c r="C24" s="9" t="str">
        <x:v>critical =&gt; blocks_publication=true</x:v>
      </x:c>
      <x:c r="D24" s="9" t="str">
        <x:v>Заблокированные строки не должны попадать в CMS_IMPORT.</x:v>
      </x:c>
    </x:row>
    <x:row r="25" ht="15" hidden="0" customHeight="1">
      <x:c r="A25" s="44" t="str">
        <x:v>Цветовая легенда</x:v>
      </x:c>
      <x:c r="B25" s="44" t="str">
        <x:v>Зелёный</x:v>
      </x:c>
      <x:c r="C25" s="44" t="str">
        <x:v>published / ok / pass</x:v>
      </x:c>
      <x:c r="D25" s="44" t="str">
        <x:v>Допустимо.</x:v>
      </x:c>
    </x:row>
    <x:row r="26" ht="15" hidden="0" customHeight="1">
      <x:c r="A26" s="46" t="str">
        <x:v>Цветовая легенда</x:v>
      </x:c>
      <x:c r="B26" s="46" t="str">
        <x:v>Янтарный</x:v>
      </x:c>
      <x:c r="C26" s="46" t="str">
        <x:v>review / conditional</x:v>
      </x:c>
      <x:c r="D26" s="46" t="str">
        <x:v>Требует внимания или условий установки.</x:v>
      </x:c>
    </x:row>
    <x:row r="27" ht="15" hidden="0" customHeight="1">
      <x:c r="A27" s="48" t="str">
        <x:v>Цветовая легенда</x:v>
      </x:c>
      <x:c r="B27" s="48" t="str">
        <x:v>Красный</x:v>
      </x:c>
      <x:c r="C27" s="48" t="str">
        <x:v>error / fail / blocks_publication</x:v>
      </x:c>
      <x:c r="D27" s="48" t="str">
        <x:v>Критическая ошибка.</x:v>
      </x:c>
    </x:row>
    <x:row r="28" ht="15" hidden="0" customHeight="1">
      <x:c r="A28" s="50" t="str">
        <x:v>Цветовая легенда</x:v>
      </x:c>
      <x:c r="B28" s="50" t="str">
        <x:v>Серый</x:v>
      </x:c>
      <x:c r="C28" s="50" t="str">
        <x:v>archived / source field</x:v>
      </x:c>
      <x:c r="D28" s="50" t="str">
        <x:v>Служебное или архивное.</x:v>
      </x:c>
    </x:row>
    <x:row r="29" ht="15" hidden="0" customHeight="1">
      <x:c r="A29" s="52" t="str">
        <x:v>Цветовая легенда</x:v>
      </x:c>
      <x:c r="B29" s="52" t="str">
        <x:v>Синий</x:v>
      </x:c>
      <x:c r="C29" s="52" t="str">
        <x:v>calculated</x:v>
      </x:c>
      <x:c r="D29" s="52" t="str">
        <x:v>Формула или производное представление.</x:v>
      </x:c>
    </x:row>
    <x:row r="30" ht="24" hidden="0" customHeight="1">
      <x:c r="A30" s="9" t="str">
        <x:v>AI agents</x:v>
      </x:c>
      <x:c r="B30" s="9" t="str">
        <x:v>Порядок чтения</x:v>
      </x:c>
      <x:c r="C30" s="9" t="str">
        <x:v>00 -&gt; 01 -&gt; 02 -&gt; 05 -&gt; 06 -&gt; 07 -&gt; 10 -&gt; 11 -&gt; 12 -&gt; 18 -&gt; 20 -&gt; 21</x:v>
      </x:c>
      <x:c r="D30" s="9" t="str">
        <x:v>README объясняет связи; CATALOG_VIEW даёт быстрый широкий обзор.</x:v>
      </x:c>
    </x:row>
    <x:row r="31" ht="24" hidden="0" customHeight="1">
      <x:c r="A31" s="10" t="str">
        <x:v>AI agents</x:v>
      </x:c>
      <x:c r="B31" s="10" t="str">
        <x:v>Авторитетность</x:v>
      </x:c>
      <x:c r="C31" s="10" t="str">
        <x:v>Исходные листы важнее CMS_IMPORT и CATALOG_VIEW</x:v>
      </x:c>
      <x:c r="D31" s="10" t="str">
        <x:v>Производные листы не редактировать вручную.</x:v>
      </x:c>
    </x:row>
  </x:sheetData>
  <x:pageMargins left="0.7" right="0.7" top="0.75" bottom="0.75" header="0.3" footer="0.3"/>
  <x:tableParts count="1">
    <x:tablePart xmlns:r="http://schemas.openxmlformats.org/officeDocument/2006/relationships" r:id="R9eb0c51b0386473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2" hidden="0" customWidth="1"/>
    <x:col min="4" max="4" width="23" hidden="0" customWidth="1"/>
    <x:col min="5" max="5" width="23" hidden="0" customWidth="1"/>
    <x:col min="6" max="6" width="17" hidden="0" customWidth="1"/>
    <x:col min="7" max="7" width="16" hidden="0" customWidth="1"/>
    <x:col min="8" max="8" width="34" hidden="0" customWidth="1"/>
    <x:col min="9" max="9" width="34" hidden="0" customWidth="1"/>
    <x:col min="10" max="10" width="20" hidden="0" customWidth="1"/>
    <x:col min="11" max="11" width="14" hidden="0" customWidth="1"/>
    <x:col min="12" max="12" width="18" hidden="0" customWidth="1"/>
    <x:col min="13" max="13" width="18" hidden="0" customWidth="1"/>
    <x:col min="14" max="14" width="26" hidden="0" customWidth="1"/>
    <x:col min="15" max="15" width="26" hidden="0" customWidth="1"/>
    <x:col min="16" max="16" width="12" hidden="0" customWidth="1"/>
    <x:col min="17" max="17" width="18" hidden="0" customWidth="1"/>
    <x:col min="18" max="18" width="18" hidden="0" customWidth="1"/>
  </x:cols>
  <x:sheetData>
    <x:row r="1" ht="30" customHeight="1">
      <x:c r="A1" s="8" t="str">
        <x:v>model_id</x:v>
      </x:c>
      <x:c r="B1" s="8" t="str">
        <x:v>public_brand</x:v>
      </x:c>
      <x:c r="C1" s="8" t="str">
        <x:v>slug</x:v>
      </x:c>
      <x:c r="D1" s="8" t="str">
        <x:v>public_name_ru</x:v>
      </x:c>
      <x:c r="E1" s="8" t="str">
        <x:v>public_name_en</x:v>
      </x:c>
      <x:c r="F1" s="8" t="str">
        <x:v>positioning_key</x:v>
      </x:c>
      <x:c r="G1" s="8" t="str">
        <x:v>product_family</x:v>
      </x:c>
      <x:c r="H1" s="8" t="str">
        <x:v>short_description_ru</x:v>
      </x:c>
      <x:c r="I1" s="8" t="str">
        <x:v>full_description_ru</x:v>
      </x:c>
      <x:c r="J1" s="8" t="str">
        <x:v>default_finish_key</x:v>
      </x:c>
      <x:c r="K1" s="8" t="str">
        <x:v>customizable</x:v>
      </x:c>
      <x:c r="L1" s="8" t="str">
        <x:v>lifecycle_status</x:v>
      </x:c>
      <x:c r="M1" s="8" t="str">
        <x:v>source_type</x:v>
      </x:c>
      <x:c r="N1" s="8" t="str">
        <x:v>source_id</x:v>
      </x:c>
      <x:c r="O1" s="8" t="str">
        <x:v>hero_media_id</x:v>
      </x:c>
      <x:c r="P1" s="18" t="str">
        <x:v>sort_order</x:v>
      </x:c>
      <x:c r="Q1" s="8" t="str">
        <x:v>created_at</x:v>
      </x:c>
      <x:c r="R1" s="8" t="str">
        <x:v>updated_at</x:v>
      </x:c>
    </x:row>
    <x:row r="2" ht="60" hidden="0" customHeight="1">
      <x:c r="A2" s="9" t="str">
        <x:v>BIZON-WHEEL-MODEL-ATLAS</x:v>
      </x:c>
      <x:c r="B2" s="9" t="str">
        <x:v>BIZON</x:v>
      </x:c>
      <x:c r="C2" s="9" t="str">
        <x:v>atlas</x:v>
      </x:c>
      <x:c r="D2" s="9" t="str">
        <x:v>BIZON Atlas</x:v>
      </x:c>
      <x:c r="E2" s="9" t="str">
        <x:v>BIZON Atlas</x:v>
      </x:c>
      <x:c r="F2" s="9" t="str">
        <x:v>offroad</x:v>
      </x:c>
      <x:c r="G2" s="9" t="str">
        <x:v>forged_wheels</x:v>
      </x:c>
      <x:c r="H2" s="9" t="str">
        <x:v>Выразительная геометрия для внедорожного образа.</x:v>
      </x:c>
      <x:c r="I2" s="9" t="str">
        <x:v>Кованый дизайн с уверенным визуальным присутствием для SUV и пикапов. Технические значения первой версии являются внутренними демонстрационными данными.</x:v>
      </x:c>
      <x:c r="J2" s="9" t="str">
        <x:v>satin_black</x:v>
      </x:c>
      <x:c r="K2" s="16" t="b">
        <x:v>1</x:v>
      </x:c>
      <x:c r="L2" s="9" t="str">
        <x:v>published</x:v>
      </x:c>
      <x:c r="M2" s="9" t="str">
        <x:v>internal_demo</x:v>
      </x:c>
      <x:c r="N2" s="9" t="str">
        <x:v>SRC-SHOP-WHEEL-DESIGNS</x:v>
      </x:c>
      <x:c r="O2" s="9" t="str">
        <x:v>MEDIA-ATLAS-HERO</x:v>
      </x:c>
      <x:c r="P2" s="19" t="n">
        <x:v>10</x:v>
      </x:c>
      <x:c r="Q2" s="21" t="n">
        <x:v>46229</x:v>
      </x:c>
      <x:c r="R2" s="21" t="n">
        <x:v>46229</x:v>
      </x:c>
    </x:row>
    <x:row r="3" ht="60" hidden="0" customHeight="1">
      <x:c r="A3" s="10" t="str">
        <x:v>BIZON-WHEEL-MODEL-VECTOR</x:v>
      </x:c>
      <x:c r="B3" s="10" t="str">
        <x:v>BIZON</x:v>
      </x:c>
      <x:c r="C3" s="10" t="str">
        <x:v>vector</x:v>
      </x:c>
      <x:c r="D3" s="10" t="str">
        <x:v>BIZON Vector</x:v>
      </x:c>
      <x:c r="E3" s="10" t="str">
        <x:v>BIZON Vector</x:v>
      </x:c>
      <x:c r="F3" s="10" t="str">
        <x:v>urban</x:v>
      </x:c>
      <x:c r="G3" s="10" t="str">
        <x:v>forged_wheels</x:v>
      </x:c>
      <x:c r="H3" s="10" t="str">
        <x:v>Чистый городской дизайн с точным ритмом спиц.</x:v>
      </x:c>
      <x:c r="I3" s="10" t="str">
        <x:v>Лаконичный кованый дизайн для городских автомобилей и спортивных SUV. Технические значения первой версии являются внутренними демонстрационными данными.</x:v>
      </x:c>
      <x:c r="J3" s="10" t="str">
        <x:v>graphite</x:v>
      </x:c>
      <x:c r="K3" s="17" t="b">
        <x:v>1</x:v>
      </x:c>
      <x:c r="L3" s="10" t="str">
        <x:v>published</x:v>
      </x:c>
      <x:c r="M3" s="10" t="str">
        <x:v>internal_demo</x:v>
      </x:c>
      <x:c r="N3" s="10" t="str">
        <x:v>SRC-SHOP-WHEEL-DESIGNS</x:v>
      </x:c>
      <x:c r="O3" s="10" t="str">
        <x:v>MEDIA-VECTOR-HERO</x:v>
      </x:c>
      <x:c r="P3" s="20" t="n">
        <x:v>20</x:v>
      </x:c>
      <x:c r="Q3" s="22" t="n">
        <x:v>46229</x:v>
      </x:c>
      <x:c r="R3" s="22" t="n">
        <x:v>46229</x:v>
      </x:c>
    </x:row>
    <x:row r="4" ht="60" hidden="0" customHeight="1">
      <x:c r="A4" s="9" t="str">
        <x:v>BIZON-WHEEL-MODEL-NOMAD</x:v>
      </x:c>
      <x:c r="B4" s="9" t="str">
        <x:v>BIZON</x:v>
      </x:c>
      <x:c r="C4" s="9" t="str">
        <x:v>nomad</x:v>
      </x:c>
      <x:c r="D4" s="9" t="str">
        <x:v>BIZON Nomad</x:v>
      </x:c>
      <x:c r="E4" s="9" t="str">
        <x:v>BIZON Nomad</x:v>
      </x:c>
      <x:c r="F4" s="9" t="str">
        <x:v>expedition</x:v>
      </x:c>
      <x:c r="G4" s="9" t="str">
        <x:v>forged_wheels</x:v>
      </x:c>
      <x:c r="H4" s="9" t="str">
        <x:v>Экспедиционный характер и глубокий профиль.</x:v>
      </x:c>
      <x:c r="I4" s="9" t="str">
        <x:v>Кованый экспедиционный дизайн для SUV и пикапов с доступными профилями concave. Технические значения первой версии являются внутренними демонстрационными данными.</x:v>
      </x:c>
      <x:c r="J4" s="9" t="str">
        <x:v>bronze</x:v>
      </x:c>
      <x:c r="K4" s="16" t="b">
        <x:v>1</x:v>
      </x:c>
      <x:c r="L4" s="9" t="str">
        <x:v>published</x:v>
      </x:c>
      <x:c r="M4" s="9" t="str">
        <x:v>internal_demo</x:v>
      </x:c>
      <x:c r="N4" s="9" t="str">
        <x:v>SRC-SHOP-WHEEL-DESIGNS</x:v>
      </x:c>
      <x:c r="O4" s="9" t="str">
        <x:v>MEDIA-NOMAD-HERO</x:v>
      </x:c>
      <x:c r="P4" s="19" t="n">
        <x:v>30</x:v>
      </x:c>
      <x:c r="Q4" s="21" t="n">
        <x:v>46229</x:v>
      </x:c>
      <x:c r="R4" s="21" t="n">
        <x:v>46229</x:v>
      </x:c>
    </x:row>
    <x:row r="5" ht="60" hidden="0" customHeight="1">
      <x:c r="A5" s="10" t="str">
        <x:v>BIZON-WHEEL-MODEL-EMBER</x:v>
      </x:c>
      <x:c r="B5" s="10" t="str">
        <x:v>BIZON</x:v>
      </x:c>
      <x:c r="C5" s="10" t="str">
        <x:v>ember</x:v>
      </x:c>
      <x:c r="D5" s="10" t="str">
        <x:v>BIZON Ember</x:v>
      </x:c>
      <x:c r="E5" s="10" t="str">
        <x:v>BIZON Ember</x:v>
      </x:c>
      <x:c r="F5" s="10" t="str">
        <x:v>performance</x:v>
      </x:c>
      <x:c r="G5" s="10" t="str">
        <x:v>forged_wheels</x:v>
      </x:c>
      <x:c r="H5" s="10" t="str">
        <x:v>Энергичный дизайн с ярким цветовым акцентом.</x:v>
      </x:c>
      <x:c r="I5" s="10" t="str">
        <x:v>Кованый performance-дизайн для легковых автомобилей с разноширокими конфигурациями. Технические значения первой версии являются внутренними демонстрационными данными.</x:v>
      </x:c>
      <x:c r="J5" s="10" t="str">
        <x:v>red</x:v>
      </x:c>
      <x:c r="K5" s="17" t="b">
        <x:v>1</x:v>
      </x:c>
      <x:c r="L5" s="10" t="str">
        <x:v>published</x:v>
      </x:c>
      <x:c r="M5" s="10" t="str">
        <x:v>internal_demo</x:v>
      </x:c>
      <x:c r="N5" s="10" t="str">
        <x:v>SRC-SHOP-WHEEL-DESIGNS</x:v>
      </x:c>
      <x:c r="O5" s="10" t="str">
        <x:v>MEDIA-EMBER-HERO</x:v>
      </x:c>
      <x:c r="P5" s="20" t="n">
        <x:v>40</x:v>
      </x:c>
      <x:c r="Q5" s="22" t="n">
        <x:v>46229</x:v>
      </x:c>
      <x:c r="R5" s="22" t="n">
        <x:v>46229</x:v>
      </x:c>
    </x:row>
    <x:row r="6" ht="60" hidden="0" customHeight="1">
      <x:c r="A6" s="9" t="str">
        <x:v>BIZON-WHEEL-MODEL-BASTION</x:v>
      </x:c>
      <x:c r="B6" s="9" t="str">
        <x:v>BIZON</x:v>
      </x:c>
      <x:c r="C6" s="9" t="str">
        <x:v>bastion</x:v>
      </x:c>
      <x:c r="D6" s="9" t="str">
        <x:v>BIZON Bastion</x:v>
      </x:c>
      <x:c r="E6" s="9" t="str">
        <x:v>BIZON Bastion</x:v>
      </x:c>
      <x:c r="F6" s="9" t="str">
        <x:v>offroad</x:v>
      </x:c>
      <x:c r="G6" s="9" t="str">
        <x:v>forged_wheels</x:v>
      </x:c>
      <x:c r="H6" s="9" t="str">
        <x:v>Массивная архитектура для внедорожного образа.</x:v>
      </x:c>
      <x:c r="I6" s="9" t="str">
        <x:v>Кованый внедорожный дизайн с вариантами функционального beadlock. Технические значения первой версии являются внутренними демонстрационными данными.</x:v>
      </x:c>
      <x:c r="J6" s="9" t="str">
        <x:v>dark_graphite</x:v>
      </x:c>
      <x:c r="K6" s="16" t="b">
        <x:v>1</x:v>
      </x:c>
      <x:c r="L6" s="9" t="str">
        <x:v>published</x:v>
      </x:c>
      <x:c r="M6" s="9" t="str">
        <x:v>internal_demo</x:v>
      </x:c>
      <x:c r="N6" s="9" t="str">
        <x:v>SRC-SHOP-WHEEL-DESIGNS</x:v>
      </x:c>
      <x:c r="O6" s="9" t="str">
        <x:v>MEDIA-BASTION-HERO</x:v>
      </x:c>
      <x:c r="P6" s="19" t="n">
        <x:v>50</x:v>
      </x:c>
      <x:c r="Q6" s="21" t="n">
        <x:v>46229</x:v>
      </x:c>
      <x:c r="R6" s="21" t="n">
        <x:v>46229</x:v>
      </x:c>
    </x:row>
  </x:sheetData>
  <x:conditionalFormatting sqref="L2:L6">
    <x:cfRule type="containsText" dxfId="0" priority="1" operator="containsText" text="published"/>
    <x:cfRule type="containsText" dxfId="1" priority="2" operator="containsText" text="ok"/>
    <x:cfRule type="containsText" dxfId="2" priority="3" operator="containsText" text="pass"/>
    <x:cfRule type="containsText" dxfId="3" priority="4" operator="containsText" text="compatible"/>
    <x:cfRule type="containsText" dxfId="4" priority="5" operator="containsText" text="review"/>
    <x:cfRule type="containsText" dxfId="5" priority="6" operator="containsText" text="conditional"/>
    <x:cfRule type="containsText" dxfId="6" priority="7" operator="containsText" text="error"/>
    <x:cfRule type="containsText" dxfId="7" priority="8" operator="containsText" text="fail"/>
    <x:cfRule type="containsText" dxfId="8" priority="9" operator="containsText" text="archived"/>
  </x:conditionalFormatting>
  <x:dataValidations count="1">
    <x:dataValidation type="list" sqref="L2:L6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91901fd10c43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3" hidden="0" customWidth="1"/>
    <x:col min="5" max="5" width="18" hidden="0" customWidth="1"/>
    <x:col min="6" max="6" width="18" hidden="0" customWidth="1"/>
    <x:col min="7" max="7" width="14" hidden="0" customWidth="1"/>
    <x:col min="8" max="8" width="15" hidden="0" customWidth="1"/>
    <x:col min="9" max="9" width="15" hidden="0" customWidth="1"/>
    <x:col min="10" max="10" width="16" hidden="0" customWidth="1"/>
    <x:col min="11" max="11" width="13" hidden="0" customWidth="1"/>
    <x:col min="12" max="12" width="12" hidden="0" customWidth="1"/>
    <x:col min="13" max="13" width="14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16" hidden="0" customWidth="1"/>
    <x:col min="19" max="19" width="13" hidden="0" customWidth="1"/>
    <x:col min="20" max="20" width="18" hidden="0" customWidth="1"/>
    <x:col min="21" max="21" width="26" hidden="0" customWidth="1"/>
    <x:col min="22" max="22" width="12" hidden="0" customWidth="1"/>
    <x:col min="23" max="23" width="12" hidden="0" customWidth="1"/>
    <x:col min="24" max="24" width="18" hidden="0" customWidth="1"/>
    <x:col min="25" max="25" width="26" hidden="0" customWidth="1"/>
    <x:col min="26" max="26" width="12" hidden="0" customWidth="1"/>
    <x:col min="27" max="27" width="18" hidden="0" customWidth="1"/>
    <x:col min="28" max="28" width="20" hidden="0" customWidth="1"/>
  </x:cols>
  <x:sheetData>
    <x:row r="1" ht="30" customHeight="1">
      <x:c r="A1" s="8" t="str">
        <x:v>variant_id</x:v>
      </x:c>
      <x:c r="B1" s="8" t="str">
        <x:v>model_id</x:v>
      </x:c>
      <x:c r="C1" s="8" t="str">
        <x:v>sku</x:v>
      </x:c>
      <x:c r="D1" s="8" t="str">
        <x:v>variant_name_ru</x:v>
      </x:c>
      <x:c r="E1" s="8" t="str">
        <x:v>sale_mode</x:v>
      </x:c>
      <x:c r="F1" s="8" t="str">
        <x:v>lifecycle_status</x:v>
      </x:c>
      <x:c r="G1" s="8" t="str">
        <x:v>availability</x:v>
      </x:c>
      <x:c r="H1" s="18" t="str">
        <x:v>price_rub</x:v>
      </x:c>
      <x:c r="I1" s="8" t="str">
        <x:v>price_on_request</x:v>
      </x:c>
      <x:c r="J1" s="18" t="str">
        <x:v>lead_time_days</x:v>
      </x:c>
      <x:c r="K1" s="18" t="str">
        <x:v>diameter_in</x:v>
      </x:c>
      <x:c r="L1" s="18" t="str">
        <x:v>width_in</x:v>
      </x:c>
      <x:c r="M1" s="18" t="str">
        <x:v>offset_et_mm</x:v>
      </x:c>
      <x:c r="N1" s="8" t="str">
        <x:v>bolt_pattern_1_holes</x:v>
      </x:c>
      <x:c r="O1" s="18" t="str">
        <x:v>bolt_pattern_1_pcd_mm</x:v>
      </x:c>
      <x:c r="P1" s="8" t="str">
        <x:v>bolt_pattern_2_holes</x:v>
      </x:c>
      <x:c r="Q1" s="18" t="str">
        <x:v>bolt_pattern_2_pcd_mm</x:v>
      </x:c>
      <x:c r="R1" s="18" t="str">
        <x:v>center_bore_mm</x:v>
      </x:c>
      <x:c r="S1" s="18" t="str">
        <x:v>max_load_kg</x:v>
      </x:c>
      <x:c r="T1" s="8" t="str">
        <x:v>construction_type</x:v>
      </x:c>
      <x:c r="U1" s="8" t="str">
        <x:v>platform_id</x:v>
      </x:c>
      <x:c r="V1" s="8" t="str">
        <x:v>finish_key</x:v>
      </x:c>
      <x:c r="W1" s="8" t="str">
        <x:v>color_key</x:v>
      </x:c>
      <x:c r="X1" s="8" t="str">
        <x:v>source_type</x:v>
      </x:c>
      <x:c r="Y1" s="8" t="str">
        <x:v>source_id</x:v>
      </x:c>
      <x:c r="Z1" s="18" t="str">
        <x:v>sort_order</x:v>
      </x:c>
      <x:c r="AA1" s="8" t="str">
        <x:v>validation_status</x:v>
      </x:c>
      <x:c r="AB1" s="8" t="str">
        <x:v>blocks_publication</x:v>
      </x:c>
    </x:row>
    <x:row r="2" ht="24" hidden="0" customHeight="1">
      <x:c r="A2" s="9" t="str">
        <x:v>BIZON-WHEEL-VAR-ATLAS-1785-ET0-6X1397</x:v>
      </x:c>
      <x:c r="B2" s="9" t="str">
        <x:v>BIZON-WHEEL-MODEL-ATLAS</x:v>
      </x:c>
      <x:c r="C2" s="9" t="str">
        <x:v>BIZ-ATLAS-1785-ET0-6X1397</x:v>
      </x:c>
      <x:c r="D2" s="9" t="str">
        <x:v>BIZON Atlas 17×8.5 ET0</x:v>
      </x:c>
      <x:c r="E2" s="9" t="str">
        <x:v>stock</x:v>
      </x:c>
      <x:c r="F2" s="9" t="str">
        <x:v>published</x:v>
      </x:c>
      <x:c r="G2" s="16" t="b">
        <x:v>1</x:v>
      </x:c>
      <x:c r="H2" s="23" t="n">
        <x:v>128000</x:v>
      </x:c>
      <x:c r="I2" s="16" t="b">
        <x:v>0</x:v>
      </x:c>
      <x:c r="J2" s="19" t="n">
        <x:v>5</x:v>
      </x:c>
      <x:c r="K2" s="25" t="n">
        <x:v>17</x:v>
      </x:c>
      <x:c r="L2" s="25" t="n">
        <x:v>8.5</x:v>
      </x:c>
      <x:c r="M2" s="27" t="n">
        <x:v>0</x:v>
      </x:c>
      <x:c r="N2" s="9" t="n">
        <x:v>6</x:v>
      </x:c>
      <x:c r="O2" s="25" t="n">
        <x:v>139.7</x:v>
      </x:c>
      <x:c r="P2" s="9"/>
      <x:c r="Q2" s="25"/>
      <x:c r="R2" s="25" t="n">
        <x:v>106.1</x:v>
      </x:c>
      <x:c r="S2" s="29" t="n">
        <x:v>1100</x:v>
      </x:c>
      <x:c r="T2" s="9" t="str">
        <x:v>monoblock</x:v>
      </x:c>
      <x:c r="U2" s="9" t="str">
        <x:v>PLAT-ATLAS-17-85</x:v>
      </x:c>
      <x:c r="V2" s="9" t="str">
        <x:v>satin_black</x:v>
      </x:c>
      <x:c r="W2" s="9" t="str">
        <x:v>black</x:v>
      </x:c>
      <x:c r="X2" s="9" t="str">
        <x:v>internal_demo</x:v>
      </x:c>
      <x:c r="Y2" s="9" t="str">
        <x:v>SRC-INTERNAL-DEMO-20260726</x:v>
      </x:c>
      <x:c r="Z2" s="19" t="n">
        <x:v>10</x:v>
      </x:c>
      <x:c r="AA2" s="9" t="str">
        <x:f>IF(AND(A2&lt;&gt;"",COUNTIF('01_WHEEL_MODELS'!$A$2:$A$6,B2)=1,C2&lt;&gt;"",K2&gt;0,L2&gt;0,N2&gt;0,O2&gt;0,R2&gt;0,S2&gt;0,T2&lt;&gt;"",COUNTIF('04_PRODUCTION_PLATFORMS'!$A$2:$A$21,U2)=1,OR(AND(P2="",Q2=""),AND(P2&gt;0,Q2&gt;0))),"ok","error")</x:f>
        <x:v>ok</x:v>
      </x:c>
      <x:c r="AB2" s="9" t="b">
        <x:f>AA2&lt;&gt;"ok"</x:f>
        <x:v>0</x:v>
      </x:c>
    </x:row>
    <x:row r="3" ht="24" hidden="0" customHeight="1">
      <x:c r="A3" s="10" t="str">
        <x:v>BIZON-WHEEL-VAR-ATLAS-189-ETM12-6X1397</x:v>
      </x:c>
      <x:c r="B3" s="10" t="str">
        <x:v>BIZON-WHEEL-MODEL-ATLAS</x:v>
      </x:c>
      <x:c r="C3" s="10" t="str">
        <x:v>BIZ-ATLAS-189-ETM12-6X1397</x:v>
      </x:c>
      <x:c r="D3" s="10" t="str">
        <x:v>BIZON Atlas 18×9 ET−12</x:v>
      </x:c>
      <x:c r="E3" s="10" t="str">
        <x:v>made_to_order</x:v>
      </x:c>
      <x:c r="F3" s="10" t="str">
        <x:v>published</x:v>
      </x:c>
      <x:c r="G3" s="17" t="b">
        <x:v>0</x:v>
      </x:c>
      <x:c r="H3" s="24"/>
      <x:c r="I3" s="17" t="b">
        <x:v>1</x:v>
      </x:c>
      <x:c r="J3" s="20" t="n">
        <x:v>30</x:v>
      </x:c>
      <x:c r="K3" s="26" t="n">
        <x:v>18</x:v>
      </x:c>
      <x:c r="L3" s="26" t="n">
        <x:v>9</x:v>
      </x:c>
      <x:c r="M3" s="28" t="n">
        <x:v>-12</x:v>
      </x:c>
      <x:c r="N3" s="10" t="n">
        <x:v>6</x:v>
      </x:c>
      <x:c r="O3" s="26" t="n">
        <x:v>139.7</x:v>
      </x:c>
      <x:c r="P3" s="10"/>
      <x:c r="Q3" s="26"/>
      <x:c r="R3" s="26" t="n">
        <x:v>106.1</x:v>
      </x:c>
      <x:c r="S3" s="30" t="n">
        <x:v>1150</x:v>
      </x:c>
      <x:c r="T3" s="10" t="str">
        <x:v>monoblock</x:v>
      </x:c>
      <x:c r="U3" s="10" t="str">
        <x:v>PLAT-ATLAS-18-9</x:v>
      </x:c>
      <x:c r="V3" s="10" t="str">
        <x:v>machined_silver</x:v>
      </x:c>
      <x:c r="W3" s="10" t="str">
        <x:v>silver</x:v>
      </x:c>
      <x:c r="X3" s="10" t="str">
        <x:v>internal_demo</x:v>
      </x:c>
      <x:c r="Y3" s="10" t="str">
        <x:v>SRC-INTERNAL-DEMO-20260726</x:v>
      </x:c>
      <x:c r="Z3" s="20" t="n">
        <x:v>20</x:v>
      </x:c>
      <x:c r="AA3" s="10" t="str">
        <x:f>IF(AND(A3&lt;&gt;"",COUNTIF('01_WHEEL_MODELS'!$A$2:$A$6,B3)=1,C3&lt;&gt;"",K3&gt;0,L3&gt;0,N3&gt;0,O3&gt;0,R3&gt;0,S3&gt;0,T3&lt;&gt;"",COUNTIF('04_PRODUCTION_PLATFORMS'!$A$2:$A$21,U3)=1,OR(AND(P3="",Q3=""),AND(P3&gt;0,Q3&gt;0))),"ok","error")</x:f>
        <x:v>ok</x:v>
      </x:c>
      <x:c r="AB3" s="10" t="b">
        <x:f>AA3&lt;&gt;"ok"</x:f>
        <x:v>0</x:v>
      </x:c>
    </x:row>
    <x:row r="4" ht="24" hidden="0" customHeight="1">
      <x:c r="A4" s="9" t="str">
        <x:v>BIZON-WHEEL-VAR-ATLAS-209-ET18-6X1397</x:v>
      </x:c>
      <x:c r="B4" s="9" t="str">
        <x:v>BIZON-WHEEL-MODEL-ATLAS</x:v>
      </x:c>
      <x:c r="C4" s="9" t="str">
        <x:v>BIZ-ATLAS-209-ET18-6X1397</x:v>
      </x:c>
      <x:c r="D4" s="9" t="str">
        <x:v>BIZON Atlas 20×9 ET18</x:v>
      </x:c>
      <x:c r="E4" s="9" t="str">
        <x:v>stock</x:v>
      </x:c>
      <x:c r="F4" s="9" t="str">
        <x:v>published</x:v>
      </x:c>
      <x:c r="G4" s="16" t="b">
        <x:v>1</x:v>
      </x:c>
      <x:c r="H4" s="23" t="n">
        <x:v>164000</x:v>
      </x:c>
      <x:c r="I4" s="16" t="b">
        <x:v>0</x:v>
      </x:c>
      <x:c r="J4" s="19" t="n">
        <x:v>7</x:v>
      </x:c>
      <x:c r="K4" s="25" t="n">
        <x:v>20</x:v>
      </x:c>
      <x:c r="L4" s="25" t="n">
        <x:v>9</x:v>
      </x:c>
      <x:c r="M4" s="27" t="n">
        <x:v>18</x:v>
      </x:c>
      <x:c r="N4" s="9" t="n">
        <x:v>6</x:v>
      </x:c>
      <x:c r="O4" s="25" t="n">
        <x:v>139.7</x:v>
      </x:c>
      <x:c r="P4" s="9"/>
      <x:c r="Q4" s="25"/>
      <x:c r="R4" s="25" t="n">
        <x:v>106.1</x:v>
      </x:c>
      <x:c r="S4" s="29" t="n">
        <x:v>1050</x:v>
      </x:c>
      <x:c r="T4" s="9" t="str">
        <x:v>monoblock</x:v>
      </x:c>
      <x:c r="U4" s="9" t="str">
        <x:v>PLAT-ATLAS-20-9</x:v>
      </x:c>
      <x:c r="V4" s="9" t="str">
        <x:v>satin_black</x:v>
      </x:c>
      <x:c r="W4" s="9" t="str">
        <x:v>black</x:v>
      </x:c>
      <x:c r="X4" s="9" t="str">
        <x:v>internal_demo</x:v>
      </x:c>
      <x:c r="Y4" s="9" t="str">
        <x:v>SRC-INTERNAL-DEMO-20260726</x:v>
      </x:c>
      <x:c r="Z4" s="19" t="n">
        <x:v>30</x:v>
      </x:c>
      <x:c r="AA4" s="9" t="str">
        <x:f>IF(AND(A4&lt;&gt;"",COUNTIF('01_WHEEL_MODELS'!$A$2:$A$6,B4)=1,C4&lt;&gt;"",K4&gt;0,L4&gt;0,N4&gt;0,O4&gt;0,R4&gt;0,S4&gt;0,T4&lt;&gt;"",COUNTIF('04_PRODUCTION_PLATFORMS'!$A$2:$A$21,U4)=1,OR(AND(P4="",Q4=""),AND(P4&gt;0,Q4&gt;0))),"ok","error")</x:f>
        <x:v>ok</x:v>
      </x:c>
      <x:c r="AB4" s="9" t="b">
        <x:f>AA4&lt;&gt;"ok"</x:f>
        <x:v>0</x:v>
      </x:c>
    </x:row>
    <x:row r="5" ht="24" hidden="0" customHeight="1">
      <x:c r="A5" s="10" t="str">
        <x:v>BIZON-WHEEL-VAR-ATLAS-2010-ETM18-DUAL</x:v>
      </x:c>
      <x:c r="B5" s="10" t="str">
        <x:v>BIZON-WHEEL-MODEL-ATLAS</x:v>
      </x:c>
      <x:c r="C5" s="10" t="str">
        <x:v>BIZ-ATLAS-2010-ETM18-DUAL</x:v>
      </x:c>
      <x:c r="D5" s="10" t="str">
        <x:v>BIZON Atlas 20×10 ET−18 Dual PCD</x:v>
      </x:c>
      <x:c r="E5" s="10" t="str">
        <x:v>made_to_order</x:v>
      </x:c>
      <x:c r="F5" s="10" t="str">
        <x:v>published</x:v>
      </x:c>
      <x:c r="G5" s="17" t="b">
        <x:v>0</x:v>
      </x:c>
      <x:c r="H5" s="24"/>
      <x:c r="I5" s="17" t="b">
        <x:v>1</x:v>
      </x:c>
      <x:c r="J5" s="20" t="n">
        <x:v>35</x:v>
      </x:c>
      <x:c r="K5" s="26" t="n">
        <x:v>20</x:v>
      </x:c>
      <x:c r="L5" s="26" t="n">
        <x:v>10</x:v>
      </x:c>
      <x:c r="M5" s="28" t="n">
        <x:v>-18</x:v>
      </x:c>
      <x:c r="N5" s="10" t="n">
        <x:v>6</x:v>
      </x:c>
      <x:c r="O5" s="26" t="n">
        <x:v>139.7</x:v>
      </x:c>
      <x:c r="P5" s="10" t="n">
        <x:v>5</x:v>
      </x:c>
      <x:c r="Q5" s="26" t="n">
        <x:v>127</x:v>
      </x:c>
      <x:c r="R5" s="26" t="n">
        <x:v>106.1</x:v>
      </x:c>
      <x:c r="S5" s="30" t="n">
        <x:v>1100</x:v>
      </x:c>
      <x:c r="T5" s="10" t="str">
        <x:v>two_piece</x:v>
      </x:c>
      <x:c r="U5" s="10" t="str">
        <x:v>PLAT-ATLAS-20-10</x:v>
      </x:c>
      <x:c r="V5" s="10" t="str">
        <x:v>machined_silver</x:v>
      </x:c>
      <x:c r="W5" s="10" t="str">
        <x:v>silver</x:v>
      </x:c>
      <x:c r="X5" s="10" t="str">
        <x:v>internal_demo</x:v>
      </x:c>
      <x:c r="Y5" s="10" t="str">
        <x:v>SRC-INTERNAL-DEMO-20260726</x:v>
      </x:c>
      <x:c r="Z5" s="20" t="n">
        <x:v>40</x:v>
      </x:c>
      <x:c r="AA5" s="10" t="str">
        <x:f>IF(AND(A5&lt;&gt;"",COUNTIF('01_WHEEL_MODELS'!$A$2:$A$6,B5)=1,C5&lt;&gt;"",K5&gt;0,L5&gt;0,N5&gt;0,O5&gt;0,R5&gt;0,S5&gt;0,T5&lt;&gt;"",COUNTIF('04_PRODUCTION_PLATFORMS'!$A$2:$A$21,U5)=1,OR(AND(P5="",Q5=""),AND(P5&gt;0,Q5&gt;0))),"ok","error")</x:f>
        <x:v>ok</x:v>
      </x:c>
      <x:c r="AB5" s="10" t="b">
        <x:f>AA5&lt;&gt;"ok"</x:f>
        <x:v>0</x:v>
      </x:c>
    </x:row>
    <x:row r="6" ht="24" hidden="0" customHeight="1">
      <x:c r="A6" s="9" t="str">
        <x:v>BIZON-WHEEL-VAR-VECTOR-1885-ET35-5X1143</x:v>
      </x:c>
      <x:c r="B6" s="9" t="str">
        <x:v>BIZON-WHEEL-MODEL-VECTOR</x:v>
      </x:c>
      <x:c r="C6" s="9" t="str">
        <x:v>BIZ-VECTOR-1885-ET35-5X1143</x:v>
      </x:c>
      <x:c r="D6" s="9" t="str">
        <x:v>BIZON Vector 18×8.5 ET35</x:v>
      </x:c>
      <x:c r="E6" s="9" t="str">
        <x:v>stock</x:v>
      </x:c>
      <x:c r="F6" s="9" t="str">
        <x:v>published</x:v>
      </x:c>
      <x:c r="G6" s="16" t="b">
        <x:v>1</x:v>
      </x:c>
      <x:c r="H6" s="23" t="n">
        <x:v>119000</x:v>
      </x:c>
      <x:c r="I6" s="16" t="b">
        <x:v>0</x:v>
      </x:c>
      <x:c r="J6" s="19" t="n">
        <x:v>5</x:v>
      </x:c>
      <x:c r="K6" s="25" t="n">
        <x:v>18</x:v>
      </x:c>
      <x:c r="L6" s="25" t="n">
        <x:v>8.5</x:v>
      </x:c>
      <x:c r="M6" s="27" t="n">
        <x:v>35</x:v>
      </x:c>
      <x:c r="N6" s="9" t="n">
        <x:v>5</x:v>
      </x:c>
      <x:c r="O6" s="25" t="n">
        <x:v>114.3</x:v>
      </x:c>
      <x:c r="P6" s="9"/>
      <x:c r="Q6" s="25"/>
      <x:c r="R6" s="25" t="n">
        <x:v>67.1</x:v>
      </x:c>
      <x:c r="S6" s="29" t="n">
        <x:v>750</x:v>
      </x:c>
      <x:c r="T6" s="9" t="str">
        <x:v>monoblock</x:v>
      </x:c>
      <x:c r="U6" s="9" t="str">
        <x:v>PLAT-VECTOR-18-85</x:v>
      </x:c>
      <x:c r="V6" s="9" t="str">
        <x:v>graphite</x:v>
      </x:c>
      <x:c r="W6" s="9" t="str">
        <x:v>graphite</x:v>
      </x:c>
      <x:c r="X6" s="9" t="str">
        <x:v>internal_demo</x:v>
      </x:c>
      <x:c r="Y6" s="9" t="str">
        <x:v>SRC-INTERNAL-DEMO-20260726</x:v>
      </x:c>
      <x:c r="Z6" s="19" t="n">
        <x:v>50</x:v>
      </x:c>
      <x:c r="AA6" s="9" t="str">
        <x:f>IF(AND(A6&lt;&gt;"",COUNTIF('01_WHEEL_MODELS'!$A$2:$A$6,B6)=1,C6&lt;&gt;"",K6&gt;0,L6&gt;0,N6&gt;0,O6&gt;0,R6&gt;0,S6&gt;0,T6&lt;&gt;"",COUNTIF('04_PRODUCTION_PLATFORMS'!$A$2:$A$21,U6)=1,OR(AND(P6="",Q6=""),AND(P6&gt;0,Q6&gt;0))),"ok","error")</x:f>
        <x:v>ok</x:v>
      </x:c>
      <x:c r="AB6" s="9" t="b">
        <x:f>AA6&lt;&gt;"ok"</x:f>
        <x:v>0</x:v>
      </x:c>
    </x:row>
    <x:row r="7" ht="24" hidden="0" customHeight="1">
      <x:c r="A7" s="10" t="str">
        <x:v>BIZON-WHEEL-VAR-VECTOR-1995-ET30-5X1143</x:v>
      </x:c>
      <x:c r="B7" s="10" t="str">
        <x:v>BIZON-WHEEL-MODEL-VECTOR</x:v>
      </x:c>
      <x:c r="C7" s="10" t="str">
        <x:v>BIZ-VECTOR-1995-ET30-5X1143</x:v>
      </x:c>
      <x:c r="D7" s="10" t="str">
        <x:v>BIZON Vector 19×9.5 ET30</x:v>
      </x:c>
      <x:c r="E7" s="10" t="str">
        <x:v>stock</x:v>
      </x:c>
      <x:c r="F7" s="10" t="str">
        <x:v>published</x:v>
      </x:c>
      <x:c r="G7" s="17" t="b">
        <x:v>1</x:v>
      </x:c>
      <x:c r="H7" s="24" t="n">
        <x:v>139000</x:v>
      </x:c>
      <x:c r="I7" s="17" t="b">
        <x:v>0</x:v>
      </x:c>
      <x:c r="J7" s="20" t="n">
        <x:v>7</x:v>
      </x:c>
      <x:c r="K7" s="26" t="n">
        <x:v>19</x:v>
      </x:c>
      <x:c r="L7" s="26" t="n">
        <x:v>9.5</x:v>
      </x:c>
      <x:c r="M7" s="28" t="n">
        <x:v>30</x:v>
      </x:c>
      <x:c r="N7" s="10" t="n">
        <x:v>5</x:v>
      </x:c>
      <x:c r="O7" s="26" t="n">
        <x:v>114.3</x:v>
      </x:c>
      <x:c r="P7" s="10"/>
      <x:c r="Q7" s="26"/>
      <x:c r="R7" s="26" t="n">
        <x:v>67.1</x:v>
      </x:c>
      <x:c r="S7" s="30" t="n">
        <x:v>780</x:v>
      </x:c>
      <x:c r="T7" s="10" t="str">
        <x:v>monoblock</x:v>
      </x:c>
      <x:c r="U7" s="10" t="str">
        <x:v>PLAT-VECTOR-19-95</x:v>
      </x:c>
      <x:c r="V7" s="10" t="str">
        <x:v>graphite</x:v>
      </x:c>
      <x:c r="W7" s="10" t="str">
        <x:v>graphite</x:v>
      </x:c>
      <x:c r="X7" s="10" t="str">
        <x:v>internal_demo</x:v>
      </x:c>
      <x:c r="Y7" s="10" t="str">
        <x:v>SRC-INTERNAL-DEMO-20260726</x:v>
      </x:c>
      <x:c r="Z7" s="20" t="n">
        <x:v>60</x:v>
      </x:c>
      <x:c r="AA7" s="10" t="str">
        <x:f>IF(AND(A7&lt;&gt;"",COUNTIF('01_WHEEL_MODELS'!$A$2:$A$6,B7)=1,C7&lt;&gt;"",K7&gt;0,L7&gt;0,N7&gt;0,O7&gt;0,R7&gt;0,S7&gt;0,T7&lt;&gt;"",COUNTIF('04_PRODUCTION_PLATFORMS'!$A$2:$A$21,U7)=1,OR(AND(P7="",Q7=""),AND(P7&gt;0,Q7&gt;0))),"ok","error")</x:f>
        <x:v>ok</x:v>
      </x:c>
      <x:c r="AB7" s="10" t="b">
        <x:f>AA7&lt;&gt;"ok"</x:f>
        <x:v>0</x:v>
      </x:c>
    </x:row>
    <x:row r="8" ht="24" hidden="0" customHeight="1">
      <x:c r="A8" s="9" t="str">
        <x:v>BIZON-WHEEL-VAR-VECTOR-209-ET35-5X112</x:v>
      </x:c>
      <x:c r="B8" s="9" t="str">
        <x:v>BIZON-WHEEL-MODEL-VECTOR</x:v>
      </x:c>
      <x:c r="C8" s="9" t="str">
        <x:v>BIZ-VECTOR-209-ET35-5X112</x:v>
      </x:c>
      <x:c r="D8" s="9" t="str">
        <x:v>BIZON Vector 20×9 ET35</x:v>
      </x:c>
      <x:c r="E8" s="9" t="str">
        <x:v>stock</x:v>
      </x:c>
      <x:c r="F8" s="9" t="str">
        <x:v>published</x:v>
      </x:c>
      <x:c r="G8" s="16" t="b">
        <x:v>1</x:v>
      </x:c>
      <x:c r="H8" s="23" t="n">
        <x:v>154000</x:v>
      </x:c>
      <x:c r="I8" s="16" t="b">
        <x:v>0</x:v>
      </x:c>
      <x:c r="J8" s="19" t="n">
        <x:v>7</x:v>
      </x:c>
      <x:c r="K8" s="25" t="n">
        <x:v>20</x:v>
      </x:c>
      <x:c r="L8" s="25" t="n">
        <x:v>9</x:v>
      </x:c>
      <x:c r="M8" s="27" t="n">
        <x:v>35</x:v>
      </x:c>
      <x:c r="N8" s="9" t="n">
        <x:v>5</x:v>
      </x:c>
      <x:c r="O8" s="25" t="n">
        <x:v>112</x:v>
      </x:c>
      <x:c r="P8" s="9"/>
      <x:c r="Q8" s="25"/>
      <x:c r="R8" s="25" t="n">
        <x:v>66.6</x:v>
      </x:c>
      <x:c r="S8" s="29" t="n">
        <x:v>800</x:v>
      </x:c>
      <x:c r="T8" s="9" t="str">
        <x:v>monoblock</x:v>
      </x:c>
      <x:c r="U8" s="9" t="str">
        <x:v>PLAT-VECTOR-20-9</x:v>
      </x:c>
      <x:c r="V8" s="9" t="str">
        <x:v>graphite</x:v>
      </x:c>
      <x:c r="W8" s="9" t="str">
        <x:v>graphite</x:v>
      </x:c>
      <x:c r="X8" s="9" t="str">
        <x:v>internal_demo</x:v>
      </x:c>
      <x:c r="Y8" s="9" t="str">
        <x:v>SRC-INTERNAL-DEMO-20260726</x:v>
      </x:c>
      <x:c r="Z8" s="19" t="n">
        <x:v>70</x:v>
      </x:c>
      <x:c r="AA8" s="9" t="str">
        <x:f>IF(AND(A8&lt;&gt;"",COUNTIF('01_WHEEL_MODELS'!$A$2:$A$6,B8)=1,C8&lt;&gt;"",K8&gt;0,L8&gt;0,N8&gt;0,O8&gt;0,R8&gt;0,S8&gt;0,T8&lt;&gt;"",COUNTIF('04_PRODUCTION_PLATFORMS'!$A$2:$A$21,U8)=1,OR(AND(P8="",Q8=""),AND(P8&gt;0,Q8&gt;0))),"ok","error")</x:f>
        <x:v>ok</x:v>
      </x:c>
      <x:c r="AB8" s="9" t="b">
        <x:f>AA8&lt;&gt;"ok"</x:f>
        <x:v>0</x:v>
      </x:c>
    </x:row>
    <x:row r="9" ht="24" hidden="0" customHeight="1">
      <x:c r="A9" s="10" t="str">
        <x:v>BIZON-WHEEL-VAR-VECTOR-20105-ET40-5X112</x:v>
      </x:c>
      <x:c r="B9" s="10" t="str">
        <x:v>BIZON-WHEEL-MODEL-VECTOR</x:v>
      </x:c>
      <x:c r="C9" s="10" t="str">
        <x:v>BIZ-VECTOR-20105-ET40-5X112</x:v>
      </x:c>
      <x:c r="D9" s="10" t="str">
        <x:v>BIZON Vector 20×10.5 ET40</x:v>
      </x:c>
      <x:c r="E9" s="10" t="str">
        <x:v>made_to_order</x:v>
      </x:c>
      <x:c r="F9" s="10" t="str">
        <x:v>published</x:v>
      </x:c>
      <x:c r="G9" s="17" t="b">
        <x:v>0</x:v>
      </x:c>
      <x:c r="H9" s="24"/>
      <x:c r="I9" s="17" t="b">
        <x:v>1</x:v>
      </x:c>
      <x:c r="J9" s="20" t="n">
        <x:v>28</x:v>
      </x:c>
      <x:c r="K9" s="26" t="n">
        <x:v>20</x:v>
      </x:c>
      <x:c r="L9" s="26" t="n">
        <x:v>10.5</x:v>
      </x:c>
      <x:c r="M9" s="28" t="n">
        <x:v>40</x:v>
      </x:c>
      <x:c r="N9" s="10" t="n">
        <x:v>5</x:v>
      </x:c>
      <x:c r="O9" s="26" t="n">
        <x:v>112</x:v>
      </x:c>
      <x:c r="P9" s="10"/>
      <x:c r="Q9" s="26"/>
      <x:c r="R9" s="26" t="n">
        <x:v>66.6</x:v>
      </x:c>
      <x:c r="S9" s="30" t="n">
        <x:v>820</x:v>
      </x:c>
      <x:c r="T9" s="10" t="str">
        <x:v>two_piece</x:v>
      </x:c>
      <x:c r="U9" s="10" t="str">
        <x:v>PLAT-VECTOR-20-105</x:v>
      </x:c>
      <x:c r="V9" s="10" t="str">
        <x:v>brushed_clear</x:v>
      </x:c>
      <x:c r="W9" s="10" t="str">
        <x:v>silver</x:v>
      </x:c>
      <x:c r="X9" s="10" t="str">
        <x:v>internal_demo</x:v>
      </x:c>
      <x:c r="Y9" s="10" t="str">
        <x:v>SRC-INTERNAL-DEMO-20260726</x:v>
      </x:c>
      <x:c r="Z9" s="20" t="n">
        <x:v>80</x:v>
      </x:c>
      <x:c r="AA9" s="10" t="str">
        <x:f>IF(AND(A9&lt;&gt;"",COUNTIF('01_WHEEL_MODELS'!$A$2:$A$6,B9)=1,C9&lt;&gt;"",K9&gt;0,L9&gt;0,N9&gt;0,O9&gt;0,R9&gt;0,S9&gt;0,T9&lt;&gt;"",COUNTIF('04_PRODUCTION_PLATFORMS'!$A$2:$A$21,U9)=1,OR(AND(P9="",Q9=""),AND(P9&gt;0,Q9&gt;0))),"ok","error")</x:f>
        <x:v>ok</x:v>
      </x:c>
      <x:c r="AB9" s="10" t="b">
        <x:f>AA9&lt;&gt;"ok"</x:f>
        <x:v>0</x:v>
      </x:c>
    </x:row>
    <x:row r="10" ht="24" hidden="0" customHeight="1">
      <x:c r="A10" s="9" t="str">
        <x:v>BIZON-WHEEL-VAR-VECTOR-21105-ET38-5X120</x:v>
      </x:c>
      <x:c r="B10" s="9" t="str">
        <x:v>BIZON-WHEEL-MODEL-VECTOR</x:v>
      </x:c>
      <x:c r="C10" s="9" t="str">
        <x:v>BIZ-VECTOR-21105-ET38-5X120</x:v>
      </x:c>
      <x:c r="D10" s="9" t="str">
        <x:v>BIZON Vector 21×10.5 ET38</x:v>
      </x:c>
      <x:c r="E10" s="9" t="str">
        <x:v>made_to_order</x:v>
      </x:c>
      <x:c r="F10" s="9" t="str">
        <x:v>published</x:v>
      </x:c>
      <x:c r="G10" s="16" t="b">
        <x:v>0</x:v>
      </x:c>
      <x:c r="H10" s="23"/>
      <x:c r="I10" s="16" t="b">
        <x:v>1</x:v>
      </x:c>
      <x:c r="J10" s="19" t="n">
        <x:v>32</x:v>
      </x:c>
      <x:c r="K10" s="25" t="n">
        <x:v>21</x:v>
      </x:c>
      <x:c r="L10" s="25" t="n">
        <x:v>10.5</x:v>
      </x:c>
      <x:c r="M10" s="27" t="n">
        <x:v>38</x:v>
      </x:c>
      <x:c r="N10" s="9" t="n">
        <x:v>5</x:v>
      </x:c>
      <x:c r="O10" s="25" t="n">
        <x:v>120</x:v>
      </x:c>
      <x:c r="P10" s="9"/>
      <x:c r="Q10" s="25"/>
      <x:c r="R10" s="25" t="n">
        <x:v>72.6</x:v>
      </x:c>
      <x:c r="S10" s="29" t="n">
        <x:v>850</x:v>
      </x:c>
      <x:c r="T10" s="9" t="str">
        <x:v>three_piece</x:v>
      </x:c>
      <x:c r="U10" s="9" t="str">
        <x:v>PLAT-VECTOR-21-105</x:v>
      </x:c>
      <x:c r="V10" s="9" t="str">
        <x:v>brushed_clear</x:v>
      </x:c>
      <x:c r="W10" s="9" t="str">
        <x:v>silver</x:v>
      </x:c>
      <x:c r="X10" s="9" t="str">
        <x:v>internal_demo</x:v>
      </x:c>
      <x:c r="Y10" s="9" t="str">
        <x:v>SRC-INTERNAL-DEMO-20260726</x:v>
      </x:c>
      <x:c r="Z10" s="19" t="n">
        <x:v>90</x:v>
      </x:c>
      <x:c r="AA10" s="9" t="str">
        <x:f>IF(AND(A10&lt;&gt;"",COUNTIF('01_WHEEL_MODELS'!$A$2:$A$6,B10)=1,C10&lt;&gt;"",K10&gt;0,L10&gt;0,N10&gt;0,O10&gt;0,R10&gt;0,S10&gt;0,T10&lt;&gt;"",COUNTIF('04_PRODUCTION_PLATFORMS'!$A$2:$A$21,U10)=1,OR(AND(P10="",Q10=""),AND(P10&gt;0,Q10&gt;0))),"ok","error")</x:f>
        <x:v>ok</x:v>
      </x:c>
      <x:c r="AB10" s="9" t="b">
        <x:f>AA10&lt;&gt;"ok"</x:f>
        <x:v>0</x:v>
      </x:c>
    </x:row>
    <x:row r="11" ht="24" hidden="0" customHeight="1">
      <x:c r="A11" s="10" t="str">
        <x:v>BIZON-WHEEL-VAR-NOMAD-1785-ET10-6X1397</x:v>
      </x:c>
      <x:c r="B11" s="10" t="str">
        <x:v>BIZON-WHEEL-MODEL-NOMAD</x:v>
      </x:c>
      <x:c r="C11" s="10" t="str">
        <x:v>BIZ-NOMAD-1785-ET10-6X1397</x:v>
      </x:c>
      <x:c r="D11" s="10" t="str">
        <x:v>BIZON Nomad 17×8.5 ET10</x:v>
      </x:c>
      <x:c r="E11" s="10" t="str">
        <x:v>stock</x:v>
      </x:c>
      <x:c r="F11" s="10" t="str">
        <x:v>published</x:v>
      </x:c>
      <x:c r="G11" s="17" t="b">
        <x:v>1</x:v>
      </x:c>
      <x:c r="H11" s="24" t="n">
        <x:v>133000</x:v>
      </x:c>
      <x:c r="I11" s="17" t="b">
        <x:v>0</x:v>
      </x:c>
      <x:c r="J11" s="20" t="n">
        <x:v>5</x:v>
      </x:c>
      <x:c r="K11" s="26" t="n">
        <x:v>17</x:v>
      </x:c>
      <x:c r="L11" s="26" t="n">
        <x:v>8.5</x:v>
      </x:c>
      <x:c r="M11" s="28" t="n">
        <x:v>10</x:v>
      </x:c>
      <x:c r="N11" s="10" t="n">
        <x:v>6</x:v>
      </x:c>
      <x:c r="O11" s="26" t="n">
        <x:v>139.7</x:v>
      </x:c>
      <x:c r="P11" s="10"/>
      <x:c r="Q11" s="26"/>
      <x:c r="R11" s="26" t="n">
        <x:v>106.1</x:v>
      </x:c>
      <x:c r="S11" s="30" t="n">
        <x:v>1150</x:v>
      </x:c>
      <x:c r="T11" s="10" t="str">
        <x:v>monoblock</x:v>
      </x:c>
      <x:c r="U11" s="10" t="str">
        <x:v>PLAT-NOMAD-17-85</x:v>
      </x:c>
      <x:c r="V11" s="10" t="str">
        <x:v>bronze</x:v>
      </x:c>
      <x:c r="W11" s="10" t="str">
        <x:v>bronze</x:v>
      </x:c>
      <x:c r="X11" s="10" t="str">
        <x:v>internal_demo</x:v>
      </x:c>
      <x:c r="Y11" s="10" t="str">
        <x:v>SRC-INTERNAL-DEMO-20260726</x:v>
      </x:c>
      <x:c r="Z11" s="20" t="n">
        <x:v>100</x:v>
      </x:c>
      <x:c r="AA11" s="10" t="str">
        <x:f>IF(AND(A11&lt;&gt;"",COUNTIF('01_WHEEL_MODELS'!$A$2:$A$6,B11)=1,C11&lt;&gt;"",K11&gt;0,L11&gt;0,N11&gt;0,O11&gt;0,R11&gt;0,S11&gt;0,T11&lt;&gt;"",COUNTIF('04_PRODUCTION_PLATFORMS'!$A$2:$A$21,U11)=1,OR(AND(P11="",Q11=""),AND(P11&gt;0,Q11&gt;0))),"ok","error")</x:f>
        <x:v>ok</x:v>
      </x:c>
      <x:c r="AB11" s="10" t="b">
        <x:f>AA11&lt;&gt;"ok"</x:f>
        <x:v>0</x:v>
      </x:c>
    </x:row>
    <x:row r="12" ht="24" hidden="0" customHeight="1">
      <x:c r="A12" s="9" t="str">
        <x:v>BIZON-WHEEL-VAR-NOMAD-189-ET0-6X1397</x:v>
      </x:c>
      <x:c r="B12" s="9" t="str">
        <x:v>BIZON-WHEEL-MODEL-NOMAD</x:v>
      </x:c>
      <x:c r="C12" s="9" t="str">
        <x:v>BIZ-NOMAD-189-ET0-6X1397</x:v>
      </x:c>
      <x:c r="D12" s="9" t="str">
        <x:v>BIZON Nomad 18×9 ET0</x:v>
      </x:c>
      <x:c r="E12" s="9" t="str">
        <x:v>stock</x:v>
      </x:c>
      <x:c r="F12" s="9" t="str">
        <x:v>published</x:v>
      </x:c>
      <x:c r="G12" s="16" t="b">
        <x:v>1</x:v>
      </x:c>
      <x:c r="H12" s="23" t="n">
        <x:v>148000</x:v>
      </x:c>
      <x:c r="I12" s="16" t="b">
        <x:v>0</x:v>
      </x:c>
      <x:c r="J12" s="19" t="n">
        <x:v>6</x:v>
      </x:c>
      <x:c r="K12" s="25" t="n">
        <x:v>18</x:v>
      </x:c>
      <x:c r="L12" s="25" t="n">
        <x:v>9</x:v>
      </x:c>
      <x:c r="M12" s="27" t="n">
        <x:v>0</x:v>
      </x:c>
      <x:c r="N12" s="9" t="n">
        <x:v>6</x:v>
      </x:c>
      <x:c r="O12" s="25" t="n">
        <x:v>139.7</x:v>
      </x:c>
      <x:c r="P12" s="9"/>
      <x:c r="Q12" s="25"/>
      <x:c r="R12" s="25" t="n">
        <x:v>106.1</x:v>
      </x:c>
      <x:c r="S12" s="29" t="n">
        <x:v>1200</x:v>
      </x:c>
      <x:c r="T12" s="9" t="str">
        <x:v>monoblock</x:v>
      </x:c>
      <x:c r="U12" s="9" t="str">
        <x:v>PLAT-NOMAD-18-9</x:v>
      </x:c>
      <x:c r="V12" s="9" t="str">
        <x:v>bronze</x:v>
      </x:c>
      <x:c r="W12" s="9" t="str">
        <x:v>bronze</x:v>
      </x:c>
      <x:c r="X12" s="9" t="str">
        <x:v>internal_demo</x:v>
      </x:c>
      <x:c r="Y12" s="9" t="str">
        <x:v>SRC-INTERNAL-DEMO-20260726</x:v>
      </x:c>
      <x:c r="Z12" s="19" t="n">
        <x:v>110</x:v>
      </x:c>
      <x:c r="AA12" s="9" t="str">
        <x:f>IF(AND(A12&lt;&gt;"",COUNTIF('01_WHEEL_MODELS'!$A$2:$A$6,B12)=1,C12&lt;&gt;"",K12&gt;0,L12&gt;0,N12&gt;0,O12&gt;0,R12&gt;0,S12&gt;0,T12&lt;&gt;"",COUNTIF('04_PRODUCTION_PLATFORMS'!$A$2:$A$21,U12)=1,OR(AND(P12="",Q12=""),AND(P12&gt;0,Q12&gt;0))),"ok","error")</x:f>
        <x:v>ok</x:v>
      </x:c>
      <x:c r="AB12" s="9" t="b">
        <x:f>AA12&lt;&gt;"ok"</x:f>
        <x:v>0</x:v>
      </x:c>
    </x:row>
    <x:row r="13" ht="24" hidden="0" customHeight="1">
      <x:c r="A13" s="10" t="str">
        <x:v>BIZON-WHEEL-VAR-NOMAD-189-ET18-6X1397</x:v>
      </x:c>
      <x:c r="B13" s="10" t="str">
        <x:v>BIZON-WHEEL-MODEL-NOMAD</x:v>
      </x:c>
      <x:c r="C13" s="10" t="str">
        <x:v>BIZ-NOMAD-189-ET18-6X1397</x:v>
      </x:c>
      <x:c r="D13" s="10" t="str">
        <x:v>BIZON Nomad 18×9 ET18</x:v>
      </x:c>
      <x:c r="E13" s="10" t="str">
        <x:v>made_to_order</x:v>
      </x:c>
      <x:c r="F13" s="10" t="str">
        <x:v>published</x:v>
      </x:c>
      <x:c r="G13" s="17" t="b">
        <x:v>0</x:v>
      </x:c>
      <x:c r="H13" s="24"/>
      <x:c r="I13" s="17" t="b">
        <x:v>1</x:v>
      </x:c>
      <x:c r="J13" s="20" t="n">
        <x:v>28</x:v>
      </x:c>
      <x:c r="K13" s="26" t="n">
        <x:v>18</x:v>
      </x:c>
      <x:c r="L13" s="26" t="n">
        <x:v>9</x:v>
      </x:c>
      <x:c r="M13" s="28" t="n">
        <x:v>18</x:v>
      </x:c>
      <x:c r="N13" s="10" t="n">
        <x:v>6</x:v>
      </x:c>
      <x:c r="O13" s="26" t="n">
        <x:v>139.7</x:v>
      </x:c>
      <x:c r="P13" s="10"/>
      <x:c r="Q13" s="26"/>
      <x:c r="R13" s="26" t="n">
        <x:v>106.1</x:v>
      </x:c>
      <x:c r="S13" s="30" t="n">
        <x:v>1150</x:v>
      </x:c>
      <x:c r="T13" s="10" t="str">
        <x:v>two_piece</x:v>
      </x:c>
      <x:c r="U13" s="10" t="str">
        <x:v>PLAT-NOMAD-18-9-2P</x:v>
      </x:c>
      <x:c r="V13" s="10" t="str">
        <x:v>satin_black</x:v>
      </x:c>
      <x:c r="W13" s="10" t="str">
        <x:v>black</x:v>
      </x:c>
      <x:c r="X13" s="10" t="str">
        <x:v>internal_demo</x:v>
      </x:c>
      <x:c r="Y13" s="10" t="str">
        <x:v>SRC-INTERNAL-DEMO-20260726</x:v>
      </x:c>
      <x:c r="Z13" s="20" t="n">
        <x:v>120</x:v>
      </x:c>
      <x:c r="AA13" s="10" t="str">
        <x:f>IF(AND(A13&lt;&gt;"",COUNTIF('01_WHEEL_MODELS'!$A$2:$A$6,B13)=1,C13&lt;&gt;"",K13&gt;0,L13&gt;0,N13&gt;0,O13&gt;0,R13&gt;0,S13&gt;0,T13&lt;&gt;"",COUNTIF('04_PRODUCTION_PLATFORMS'!$A$2:$A$21,U13)=1,OR(AND(P13="",Q13=""),AND(P13&gt;0,Q13&gt;0))),"ok","error")</x:f>
        <x:v>ok</x:v>
      </x:c>
      <x:c r="AB13" s="10" t="b">
        <x:f>AA13&lt;&gt;"ok"</x:f>
        <x:v>0</x:v>
      </x:c>
    </x:row>
    <x:row r="14" ht="24" hidden="0" customHeight="1">
      <x:c r="A14" s="9" t="str">
        <x:v>BIZON-WHEEL-VAR-NOMAD-209-ET25-6X1397</x:v>
      </x:c>
      <x:c r="B14" s="9" t="str">
        <x:v>BIZON-WHEEL-MODEL-NOMAD</x:v>
      </x:c>
      <x:c r="C14" s="9" t="str">
        <x:v>BIZ-NOMAD-209-ET25-6X1397</x:v>
      </x:c>
      <x:c r="D14" s="9" t="str">
        <x:v>BIZON Nomad 20×9 ET25</x:v>
      </x:c>
      <x:c r="E14" s="9" t="str">
        <x:v>stock</x:v>
      </x:c>
      <x:c r="F14" s="9" t="str">
        <x:v>published</x:v>
      </x:c>
      <x:c r="G14" s="16" t="b">
        <x:v>1</x:v>
      </x:c>
      <x:c r="H14" s="23" t="n">
        <x:v>172000</x:v>
      </x:c>
      <x:c r="I14" s="16" t="b">
        <x:v>0</x:v>
      </x:c>
      <x:c r="J14" s="19" t="n">
        <x:v>7</x:v>
      </x:c>
      <x:c r="K14" s="25" t="n">
        <x:v>20</x:v>
      </x:c>
      <x:c r="L14" s="25" t="n">
        <x:v>9</x:v>
      </x:c>
      <x:c r="M14" s="27" t="n">
        <x:v>25</x:v>
      </x:c>
      <x:c r="N14" s="9" t="n">
        <x:v>6</x:v>
      </x:c>
      <x:c r="O14" s="25" t="n">
        <x:v>139.7</x:v>
      </x:c>
      <x:c r="P14" s="9"/>
      <x:c r="Q14" s="25"/>
      <x:c r="R14" s="25" t="n">
        <x:v>106.1</x:v>
      </x:c>
      <x:c r="S14" s="29" t="n">
        <x:v>1100</x:v>
      </x:c>
      <x:c r="T14" s="9" t="str">
        <x:v>monoblock</x:v>
      </x:c>
      <x:c r="U14" s="9" t="str">
        <x:v>PLAT-NOMAD-20-9</x:v>
      </x:c>
      <x:c r="V14" s="9" t="str">
        <x:v>bronze</x:v>
      </x:c>
      <x:c r="W14" s="9" t="str">
        <x:v>bronze</x:v>
      </x:c>
      <x:c r="X14" s="9" t="str">
        <x:v>internal_demo</x:v>
      </x:c>
      <x:c r="Y14" s="9" t="str">
        <x:v>SRC-INTERNAL-DEMO-20260726</x:v>
      </x:c>
      <x:c r="Z14" s="19" t="n">
        <x:v>130</x:v>
      </x:c>
      <x:c r="AA14" s="9" t="str">
        <x:f>IF(AND(A14&lt;&gt;"",COUNTIF('01_WHEEL_MODELS'!$A$2:$A$6,B14)=1,C14&lt;&gt;"",K14&gt;0,L14&gt;0,N14&gt;0,O14&gt;0,R14&gt;0,S14&gt;0,T14&lt;&gt;"",COUNTIF('04_PRODUCTION_PLATFORMS'!$A$2:$A$21,U14)=1,OR(AND(P14="",Q14=""),AND(P14&gt;0,Q14&gt;0))),"ok","error")</x:f>
        <x:v>ok</x:v>
      </x:c>
      <x:c r="AB14" s="9" t="b">
        <x:f>AA14&lt;&gt;"ok"</x:f>
        <x:v>0</x:v>
      </x:c>
    </x:row>
    <x:row r="15" ht="24" hidden="0" customHeight="1">
      <x:c r="A15" s="10" t="str">
        <x:v>BIZON-WHEEL-VAR-EMBER-189-ET25-5X1143</x:v>
      </x:c>
      <x:c r="B15" s="10" t="str">
        <x:v>BIZON-WHEEL-MODEL-EMBER</x:v>
      </x:c>
      <x:c r="C15" s="10" t="str">
        <x:v>BIZ-EMBER-189-ET25-5X1143</x:v>
      </x:c>
      <x:c r="D15" s="10" t="str">
        <x:v>BIZON Ember 18×9 ET25</x:v>
      </x:c>
      <x:c r="E15" s="10" t="str">
        <x:v>stock</x:v>
      </x:c>
      <x:c r="F15" s="10" t="str">
        <x:v>published</x:v>
      </x:c>
      <x:c r="G15" s="17" t="b">
        <x:v>1</x:v>
      </x:c>
      <x:c r="H15" s="24" t="n">
        <x:v>132000</x:v>
      </x:c>
      <x:c r="I15" s="17" t="b">
        <x:v>0</x:v>
      </x:c>
      <x:c r="J15" s="20" t="n">
        <x:v>6</x:v>
      </x:c>
      <x:c r="K15" s="26" t="n">
        <x:v>18</x:v>
      </x:c>
      <x:c r="L15" s="26" t="n">
        <x:v>9</x:v>
      </x:c>
      <x:c r="M15" s="28" t="n">
        <x:v>25</x:v>
      </x:c>
      <x:c r="N15" s="10" t="n">
        <x:v>5</x:v>
      </x:c>
      <x:c r="O15" s="26" t="n">
        <x:v>114.3</x:v>
      </x:c>
      <x:c r="P15" s="10"/>
      <x:c r="Q15" s="26"/>
      <x:c r="R15" s="26" t="n">
        <x:v>66.1</x:v>
      </x:c>
      <x:c r="S15" s="30" t="n">
        <x:v>760</x:v>
      </x:c>
      <x:c r="T15" s="10" t="str">
        <x:v>monoblock</x:v>
      </x:c>
      <x:c r="U15" s="10" t="str">
        <x:v>PLAT-EMBER-18-9</x:v>
      </x:c>
      <x:c r="V15" s="10" t="str">
        <x:v>red</x:v>
      </x:c>
      <x:c r="W15" s="10" t="str">
        <x:v>red</x:v>
      </x:c>
      <x:c r="X15" s="10" t="str">
        <x:v>internal_demo</x:v>
      </x:c>
      <x:c r="Y15" s="10" t="str">
        <x:v>SRC-INTERNAL-DEMO-20260726</x:v>
      </x:c>
      <x:c r="Z15" s="20" t="n">
        <x:v>140</x:v>
      </x:c>
      <x:c r="AA15" s="10" t="str">
        <x:f>IF(AND(A15&lt;&gt;"",COUNTIF('01_WHEEL_MODELS'!$A$2:$A$6,B15)=1,C15&lt;&gt;"",K15&gt;0,L15&gt;0,N15&gt;0,O15&gt;0,R15&gt;0,S15&gt;0,T15&lt;&gt;"",COUNTIF('04_PRODUCTION_PLATFORMS'!$A$2:$A$21,U15)=1,OR(AND(P15="",Q15=""),AND(P15&gt;0,Q15&gt;0))),"ok","error")</x:f>
        <x:v>ok</x:v>
      </x:c>
      <x:c r="AB15" s="10" t="b">
        <x:f>AA15&lt;&gt;"ok"</x:f>
        <x:v>0</x:v>
      </x:c>
    </x:row>
    <x:row r="16" ht="24" hidden="0" customHeight="1">
      <x:c r="A16" s="9" t="str">
        <x:v>BIZON-WHEEL-VAR-EMBER-1810-ET38-5X1143</x:v>
      </x:c>
      <x:c r="B16" s="9" t="str">
        <x:v>BIZON-WHEEL-MODEL-EMBER</x:v>
      </x:c>
      <x:c r="C16" s="9" t="str">
        <x:v>BIZ-EMBER-1810-ET38-5X1143</x:v>
      </x:c>
      <x:c r="D16" s="9" t="str">
        <x:v>BIZON Ember 18×10 ET38</x:v>
      </x:c>
      <x:c r="E16" s="9" t="str">
        <x:v>made_to_order</x:v>
      </x:c>
      <x:c r="F16" s="9" t="str">
        <x:v>published</x:v>
      </x:c>
      <x:c r="G16" s="16" t="b">
        <x:v>0</x:v>
      </x:c>
      <x:c r="H16" s="23"/>
      <x:c r="I16" s="16" t="b">
        <x:v>1</x:v>
      </x:c>
      <x:c r="J16" s="19" t="n">
        <x:v>25</x:v>
      </x:c>
      <x:c r="K16" s="25" t="n">
        <x:v>18</x:v>
      </x:c>
      <x:c r="L16" s="25" t="n">
        <x:v>10</x:v>
      </x:c>
      <x:c r="M16" s="27" t="n">
        <x:v>38</x:v>
      </x:c>
      <x:c r="N16" s="9" t="n">
        <x:v>5</x:v>
      </x:c>
      <x:c r="O16" s="25" t="n">
        <x:v>114.3</x:v>
      </x:c>
      <x:c r="P16" s="9"/>
      <x:c r="Q16" s="25"/>
      <x:c r="R16" s="25" t="n">
        <x:v>66.1</x:v>
      </x:c>
      <x:c r="S16" s="29" t="n">
        <x:v>780</x:v>
      </x:c>
      <x:c r="T16" s="9" t="str">
        <x:v>two_piece</x:v>
      </x:c>
      <x:c r="U16" s="9" t="str">
        <x:v>PLAT-EMBER-18-10</x:v>
      </x:c>
      <x:c r="V16" s="9" t="str">
        <x:v>red</x:v>
      </x:c>
      <x:c r="W16" s="9" t="str">
        <x:v>red</x:v>
      </x:c>
      <x:c r="X16" s="9" t="str">
        <x:v>internal_demo</x:v>
      </x:c>
      <x:c r="Y16" s="9" t="str">
        <x:v>SRC-INTERNAL-DEMO-20260726</x:v>
      </x:c>
      <x:c r="Z16" s="19" t="n">
        <x:v>150</x:v>
      </x:c>
      <x:c r="AA16" s="9" t="str">
        <x:f>IF(AND(A16&lt;&gt;"",COUNTIF('01_WHEEL_MODELS'!$A$2:$A$6,B16)=1,C16&lt;&gt;"",K16&gt;0,L16&gt;0,N16&gt;0,O16&gt;0,R16&gt;0,S16&gt;0,T16&lt;&gt;"",COUNTIF('04_PRODUCTION_PLATFORMS'!$A$2:$A$21,U16)=1,OR(AND(P16="",Q16=""),AND(P16&gt;0,Q16&gt;0))),"ok","error")</x:f>
        <x:v>ok</x:v>
      </x:c>
      <x:c r="AB16" s="9" t="b">
        <x:f>AA16&lt;&gt;"ok"</x:f>
        <x:v>0</x:v>
      </x:c>
    </x:row>
    <x:row r="17" ht="24" hidden="0" customHeight="1">
      <x:c r="A17" s="10" t="str">
        <x:v>BIZON-WHEEL-VAR-EMBER-1995-ET22-5X1143</x:v>
      </x:c>
      <x:c r="B17" s="10" t="str">
        <x:v>BIZON-WHEEL-MODEL-EMBER</x:v>
      </x:c>
      <x:c r="C17" s="10" t="str">
        <x:v>BIZ-EMBER-1995-ET22-5X1143</x:v>
      </x:c>
      <x:c r="D17" s="10" t="str">
        <x:v>BIZON Ember 19×9.5 ET22</x:v>
      </x:c>
      <x:c r="E17" s="10" t="str">
        <x:v>stock</x:v>
      </x:c>
      <x:c r="F17" s="10" t="str">
        <x:v>published</x:v>
      </x:c>
      <x:c r="G17" s="17" t="b">
        <x:v>1</x:v>
      </x:c>
      <x:c r="H17" s="24" t="n">
        <x:v>149000</x:v>
      </x:c>
      <x:c r="I17" s="17" t="b">
        <x:v>0</x:v>
      </x:c>
      <x:c r="J17" s="20" t="n">
        <x:v>7</x:v>
      </x:c>
      <x:c r="K17" s="26" t="n">
        <x:v>19</x:v>
      </x:c>
      <x:c r="L17" s="26" t="n">
        <x:v>9.5</x:v>
      </x:c>
      <x:c r="M17" s="28" t="n">
        <x:v>22</x:v>
      </x:c>
      <x:c r="N17" s="10" t="n">
        <x:v>5</x:v>
      </x:c>
      <x:c r="O17" s="26" t="n">
        <x:v>114.3</x:v>
      </x:c>
      <x:c r="P17" s="10"/>
      <x:c r="Q17" s="26"/>
      <x:c r="R17" s="26" t="n">
        <x:v>66.1</x:v>
      </x:c>
      <x:c r="S17" s="30" t="n">
        <x:v>790</x:v>
      </x:c>
      <x:c r="T17" s="10" t="str">
        <x:v>monoblock</x:v>
      </x:c>
      <x:c r="U17" s="10" t="str">
        <x:v>PLAT-EMBER-19-95</x:v>
      </x:c>
      <x:c r="V17" s="10" t="str">
        <x:v>red</x:v>
      </x:c>
      <x:c r="W17" s="10" t="str">
        <x:v>red</x:v>
      </x:c>
      <x:c r="X17" s="10" t="str">
        <x:v>internal_demo</x:v>
      </x:c>
      <x:c r="Y17" s="10" t="str">
        <x:v>SRC-INTERNAL-DEMO-20260726</x:v>
      </x:c>
      <x:c r="Z17" s="20" t="n">
        <x:v>160</x:v>
      </x:c>
      <x:c r="AA17" s="10" t="str">
        <x:f>IF(AND(A17&lt;&gt;"",COUNTIF('01_WHEEL_MODELS'!$A$2:$A$6,B17)=1,C17&lt;&gt;"",K17&gt;0,L17&gt;0,N17&gt;0,O17&gt;0,R17&gt;0,S17&gt;0,T17&lt;&gt;"",COUNTIF('04_PRODUCTION_PLATFORMS'!$A$2:$A$21,U17)=1,OR(AND(P17="",Q17=""),AND(P17&gt;0,Q17&gt;0))),"ok","error")</x:f>
        <x:v>ok</x:v>
      </x:c>
      <x:c r="AB17" s="10" t="b">
        <x:f>AA17&lt;&gt;"ok"</x:f>
        <x:v>0</x:v>
      </x:c>
    </x:row>
    <x:row r="18" ht="24" hidden="0" customHeight="1">
      <x:c r="A18" s="9" t="str">
        <x:v>BIZON-WHEEL-VAR-EMBER-19105-ET35-5X1143</x:v>
      </x:c>
      <x:c r="B18" s="9" t="str">
        <x:v>BIZON-WHEEL-MODEL-EMBER</x:v>
      </x:c>
      <x:c r="C18" s="9" t="str">
        <x:v>BIZ-EMBER-19105-ET35-5X1143</x:v>
      </x:c>
      <x:c r="D18" s="9" t="str">
        <x:v>BIZON Ember 19×10.5 ET35</x:v>
      </x:c>
      <x:c r="E18" s="9" t="str">
        <x:v>made_to_order</x:v>
      </x:c>
      <x:c r="F18" s="9" t="str">
        <x:v>published</x:v>
      </x:c>
      <x:c r="G18" s="16" t="b">
        <x:v>0</x:v>
      </x:c>
      <x:c r="H18" s="23"/>
      <x:c r="I18" s="16" t="b">
        <x:v>1</x:v>
      </x:c>
      <x:c r="J18" s="19" t="n">
        <x:v>28</x:v>
      </x:c>
      <x:c r="K18" s="25" t="n">
        <x:v>19</x:v>
      </x:c>
      <x:c r="L18" s="25" t="n">
        <x:v>10.5</x:v>
      </x:c>
      <x:c r="M18" s="27" t="n">
        <x:v>35</x:v>
      </x:c>
      <x:c r="N18" s="9" t="n">
        <x:v>5</x:v>
      </x:c>
      <x:c r="O18" s="25" t="n">
        <x:v>114.3</x:v>
      </x:c>
      <x:c r="P18" s="9"/>
      <x:c r="Q18" s="25"/>
      <x:c r="R18" s="25" t="n">
        <x:v>66.1</x:v>
      </x:c>
      <x:c r="S18" s="29" t="n">
        <x:v>820</x:v>
      </x:c>
      <x:c r="T18" s="9" t="str">
        <x:v>three_piece</x:v>
      </x:c>
      <x:c r="U18" s="9" t="str">
        <x:v>PLAT-EMBER-19-105</x:v>
      </x:c>
      <x:c r="V18" s="9" t="str">
        <x:v>red</x:v>
      </x:c>
      <x:c r="W18" s="9" t="str">
        <x:v>red</x:v>
      </x:c>
      <x:c r="X18" s="9" t="str">
        <x:v>internal_demo</x:v>
      </x:c>
      <x:c r="Y18" s="9" t="str">
        <x:v>SRC-INTERNAL-DEMO-20260726</x:v>
      </x:c>
      <x:c r="Z18" s="19" t="n">
        <x:v>170</x:v>
      </x:c>
      <x:c r="AA18" s="9" t="str">
        <x:f>IF(AND(A18&lt;&gt;"",COUNTIF('01_WHEEL_MODELS'!$A$2:$A$6,B18)=1,C18&lt;&gt;"",K18&gt;0,L18&gt;0,N18&gt;0,O18&gt;0,R18&gt;0,S18&gt;0,T18&lt;&gt;"",COUNTIF('04_PRODUCTION_PLATFORMS'!$A$2:$A$21,U18)=1,OR(AND(P18="",Q18=""),AND(P18&gt;0,Q18&gt;0))),"ok","error")</x:f>
        <x:v>ok</x:v>
      </x:c>
      <x:c r="AB18" s="9" t="b">
        <x:f>AA18&lt;&gt;"ok"</x:f>
        <x:v>0</x:v>
      </x:c>
    </x:row>
    <x:row r="19" ht="24" hidden="0" customHeight="1">
      <x:c r="A19" s="10" t="str">
        <x:v>BIZON-WHEEL-VAR-BASTION-179-ETM12-5X127</x:v>
      </x:c>
      <x:c r="B19" s="10" t="str">
        <x:v>BIZON-WHEEL-MODEL-BASTION</x:v>
      </x:c>
      <x:c r="C19" s="10" t="str">
        <x:v>BIZ-BASTION-179-ETM12-5X127</x:v>
      </x:c>
      <x:c r="D19" s="10" t="str">
        <x:v>BIZON Bastion 17×9 ET−12</x:v>
      </x:c>
      <x:c r="E19" s="10" t="str">
        <x:v>stock</x:v>
      </x:c>
      <x:c r="F19" s="10" t="str">
        <x:v>published</x:v>
      </x:c>
      <x:c r="G19" s="17" t="b">
        <x:v>1</x:v>
      </x:c>
      <x:c r="H19" s="24" t="n">
        <x:v>146000</x:v>
      </x:c>
      <x:c r="I19" s="17" t="b">
        <x:v>0</x:v>
      </x:c>
      <x:c r="J19" s="20" t="n">
        <x:v>6</x:v>
      </x:c>
      <x:c r="K19" s="26" t="n">
        <x:v>17</x:v>
      </x:c>
      <x:c r="L19" s="26" t="n">
        <x:v>9</x:v>
      </x:c>
      <x:c r="M19" s="28" t="n">
        <x:v>-12</x:v>
      </x:c>
      <x:c r="N19" s="10" t="n">
        <x:v>5</x:v>
      </x:c>
      <x:c r="O19" s="26" t="n">
        <x:v>127</x:v>
      </x:c>
      <x:c r="P19" s="10"/>
      <x:c r="Q19" s="26"/>
      <x:c r="R19" s="26" t="n">
        <x:v>71.5</x:v>
      </x:c>
      <x:c r="S19" s="30" t="n">
        <x:v>1150</x:v>
      </x:c>
      <x:c r="T19" s="10" t="str">
        <x:v>monoblock</x:v>
      </x:c>
      <x:c r="U19" s="10" t="str">
        <x:v>PLAT-BASTION-17-9</x:v>
      </x:c>
      <x:c r="V19" s="10" t="str">
        <x:v>dark_graphite</x:v>
      </x:c>
      <x:c r="W19" s="10" t="str">
        <x:v>graphite</x:v>
      </x:c>
      <x:c r="X19" s="10" t="str">
        <x:v>internal_demo</x:v>
      </x:c>
      <x:c r="Y19" s="10" t="str">
        <x:v>SRC-INTERNAL-DEMO-20260726</x:v>
      </x:c>
      <x:c r="Z19" s="20" t="n">
        <x:v>180</x:v>
      </x:c>
      <x:c r="AA19" s="10" t="str">
        <x:f>IF(AND(A19&lt;&gt;"",COUNTIF('01_WHEEL_MODELS'!$A$2:$A$6,B19)=1,C19&lt;&gt;"",K19&gt;0,L19&gt;0,N19&gt;0,O19&gt;0,R19&gt;0,S19&gt;0,T19&lt;&gt;"",COUNTIF('04_PRODUCTION_PLATFORMS'!$A$2:$A$21,U19)=1,OR(AND(P19="",Q19=""),AND(P19&gt;0,Q19&gt;0))),"ok","error")</x:f>
        <x:v>ok</x:v>
      </x:c>
      <x:c r="AB19" s="10" t="b">
        <x:f>AA19&lt;&gt;"ok"</x:f>
        <x:v>0</x:v>
      </x:c>
    </x:row>
    <x:row r="20" ht="24" hidden="0" customHeight="1">
      <x:c r="A20" s="9" t="str">
        <x:v>BIZON-WHEEL-VAR-BASTION-189-ET0-6X1397</x:v>
      </x:c>
      <x:c r="B20" s="9" t="str">
        <x:v>BIZON-WHEEL-MODEL-BASTION</x:v>
      </x:c>
      <x:c r="C20" s="9" t="str">
        <x:v>BIZ-BASTION-189-ET0-6X1397</x:v>
      </x:c>
      <x:c r="D20" s="9" t="str">
        <x:v>BIZON Bastion 18×9 ET0</x:v>
      </x:c>
      <x:c r="E20" s="9" t="str">
        <x:v>stock</x:v>
      </x:c>
      <x:c r="F20" s="9" t="str">
        <x:v>published</x:v>
      </x:c>
      <x:c r="G20" s="16" t="b">
        <x:v>1</x:v>
      </x:c>
      <x:c r="H20" s="23" t="n">
        <x:v>158000</x:v>
      </x:c>
      <x:c r="I20" s="16" t="b">
        <x:v>0</x:v>
      </x:c>
      <x:c r="J20" s="19" t="n">
        <x:v>6</x:v>
      </x:c>
      <x:c r="K20" s="25" t="n">
        <x:v>18</x:v>
      </x:c>
      <x:c r="L20" s="25" t="n">
        <x:v>9</x:v>
      </x:c>
      <x:c r="M20" s="27" t="n">
        <x:v>0</x:v>
      </x:c>
      <x:c r="N20" s="9" t="n">
        <x:v>6</x:v>
      </x:c>
      <x:c r="O20" s="25" t="n">
        <x:v>139.7</x:v>
      </x:c>
      <x:c r="P20" s="9"/>
      <x:c r="Q20" s="25"/>
      <x:c r="R20" s="25" t="n">
        <x:v>106.1</x:v>
      </x:c>
      <x:c r="S20" s="29" t="n">
        <x:v>1200</x:v>
      </x:c>
      <x:c r="T20" s="9" t="str">
        <x:v>monoblock</x:v>
      </x:c>
      <x:c r="U20" s="9" t="str">
        <x:v>PLAT-BASTION-18-9</x:v>
      </x:c>
      <x:c r="V20" s="9" t="str">
        <x:v>dark_graphite</x:v>
      </x:c>
      <x:c r="W20" s="9" t="str">
        <x:v>graphite</x:v>
      </x:c>
      <x:c r="X20" s="9" t="str">
        <x:v>internal_demo</x:v>
      </x:c>
      <x:c r="Y20" s="9" t="str">
        <x:v>SRC-INTERNAL-DEMO-20260726</x:v>
      </x:c>
      <x:c r="Z20" s="19" t="n">
        <x:v>190</x:v>
      </x:c>
      <x:c r="AA20" s="9" t="str">
        <x:f>IF(AND(A20&lt;&gt;"",COUNTIF('01_WHEEL_MODELS'!$A$2:$A$6,B20)=1,C20&lt;&gt;"",K20&gt;0,L20&gt;0,N20&gt;0,O20&gt;0,R20&gt;0,S20&gt;0,T20&lt;&gt;"",COUNTIF('04_PRODUCTION_PLATFORMS'!$A$2:$A$21,U20)=1,OR(AND(P20="",Q20=""),AND(P20&gt;0,Q20&gt;0))),"ok","error")</x:f>
        <x:v>ok</x:v>
      </x:c>
      <x:c r="AB20" s="9" t="b">
        <x:f>AA20&lt;&gt;"ok"</x:f>
        <x:v>0</x:v>
      </x:c>
    </x:row>
    <x:row r="21" ht="24" hidden="0" customHeight="1">
      <x:c r="A21" s="10" t="str">
        <x:v>BIZON-WHEEL-VAR-BASTION-2010-ETM18-6X1397</x:v>
      </x:c>
      <x:c r="B21" s="10" t="str">
        <x:v>BIZON-WHEEL-MODEL-BASTION</x:v>
      </x:c>
      <x:c r="C21" s="10" t="str">
        <x:v>BIZ-BASTION-2010-ETM18-6X1397</x:v>
      </x:c>
      <x:c r="D21" s="10" t="str">
        <x:v>BIZON Bastion 20×10 ET−18</x:v>
      </x:c>
      <x:c r="E21" s="10" t="str">
        <x:v>made_to_order</x:v>
      </x:c>
      <x:c r="F21" s="10" t="str">
        <x:v>published</x:v>
      </x:c>
      <x:c r="G21" s="17" t="b">
        <x:v>0</x:v>
      </x:c>
      <x:c r="H21" s="24"/>
      <x:c r="I21" s="17" t="b">
        <x:v>1</x:v>
      </x:c>
      <x:c r="J21" s="20" t="n">
        <x:v>35</x:v>
      </x:c>
      <x:c r="K21" s="26" t="n">
        <x:v>20</x:v>
      </x:c>
      <x:c r="L21" s="26" t="n">
        <x:v>10</x:v>
      </x:c>
      <x:c r="M21" s="28" t="n">
        <x:v>-18</x:v>
      </x:c>
      <x:c r="N21" s="10" t="n">
        <x:v>6</x:v>
      </x:c>
      <x:c r="O21" s="26" t="n">
        <x:v>139.7</x:v>
      </x:c>
      <x:c r="P21" s="10"/>
      <x:c r="Q21" s="26"/>
      <x:c r="R21" s="26" t="n">
        <x:v>106.1</x:v>
      </x:c>
      <x:c r="S21" s="30" t="n">
        <x:v>1200</x:v>
      </x:c>
      <x:c r="T21" s="10" t="str">
        <x:v>three_piece</x:v>
      </x:c>
      <x:c r="U21" s="10" t="str">
        <x:v>PLAT-BASTION-20-10</x:v>
      </x:c>
      <x:c r="V21" s="10" t="str">
        <x:v>satin_black</x:v>
      </x:c>
      <x:c r="W21" s="10" t="str">
        <x:v>black</x:v>
      </x:c>
      <x:c r="X21" s="10" t="str">
        <x:v>internal_demo</x:v>
      </x:c>
      <x:c r="Y21" s="10" t="str">
        <x:v>SRC-INTERNAL-DEMO-20260726</x:v>
      </x:c>
      <x:c r="Z21" s="20" t="n">
        <x:v>200</x:v>
      </x:c>
      <x:c r="AA21" s="10" t="str">
        <x:f>IF(AND(A21&lt;&gt;"",COUNTIF('01_WHEEL_MODELS'!$A$2:$A$6,B21)=1,C21&lt;&gt;"",K21&gt;0,L21&gt;0,N21&gt;0,O21&gt;0,R21&gt;0,S21&gt;0,T21&lt;&gt;"",COUNTIF('04_PRODUCTION_PLATFORMS'!$A$2:$A$21,U21)=1,OR(AND(P21="",Q21=""),AND(P21&gt;0,Q21&gt;0))),"ok","error")</x:f>
        <x:v>ok</x:v>
      </x:c>
      <x:c r="AB21" s="10" t="b">
        <x:f>AA21&lt;&gt;"ok"</x:f>
        <x:v>0</x:v>
      </x:c>
    </x:row>
  </x:sheetData>
  <x:conditionalFormatting sqref="F2:F21">
    <x:cfRule type="containsText" dxfId="9" priority="1" operator="containsText" text="published"/>
    <x:cfRule type="containsText" dxfId="10" priority="2" operator="containsText" text="ok"/>
    <x:cfRule type="containsText" dxfId="11" priority="3" operator="containsText" text="pass"/>
    <x:cfRule type="containsText" dxfId="12" priority="4" operator="containsText" text="compatible"/>
    <x:cfRule type="containsText" dxfId="13" priority="5" operator="containsText" text="review"/>
    <x:cfRule type="containsText" dxfId="14" priority="6" operator="containsText" text="conditional"/>
    <x:cfRule type="containsText" dxfId="15" priority="7" operator="containsText" text="error"/>
    <x:cfRule type="containsText" dxfId="16" priority="8" operator="containsText" text="fail"/>
    <x:cfRule type="containsText" dxfId="17" priority="9" operator="containsText" text="archived"/>
  </x:conditionalFormatting>
  <x:conditionalFormatting sqref="AA2:AA21">
    <x:cfRule type="containsText" dxfId="18" priority="10" operator="containsText" text="published"/>
    <x:cfRule type="containsText" dxfId="19" priority="11" operator="containsText" text="ok"/>
    <x:cfRule type="containsText" dxfId="20" priority="12" operator="containsText" text="pass"/>
    <x:cfRule type="containsText" dxfId="21" priority="13" operator="containsText" text="compatible"/>
    <x:cfRule type="containsText" dxfId="22" priority="14" operator="containsText" text="review"/>
    <x:cfRule type="containsText" dxfId="23" priority="15" operator="containsText" text="conditional"/>
    <x:cfRule type="containsText" dxfId="24" priority="16" operator="containsText" text="error"/>
    <x:cfRule type="containsText" dxfId="25" priority="17" operator="containsText" text="fail"/>
    <x:cfRule type="containsText" dxfId="26" priority="18" operator="containsText" text="archived"/>
  </x:conditionalFormatting>
  <x:dataValidations count="3">
    <x:dataValidation type="list" sqref="F2:F21">
      <x:formula1>"draft,review,published,archived"</x:formula1>
    </x:dataValidation>
    <x:dataValidation type="list" sqref="T2:T21">
      <x:formula1>"monoblock,two_piece,three_piece"</x:formula1>
    </x:dataValidation>
    <x:dataValidation type="list" sqref="E2:E21">
      <x:formula1>"stock,made_to_order"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ad69222daf4b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13" hidden="0" customWidth="1"/>
    <x:col min="5" max="5" width="23" hidden="0" customWidth="1"/>
    <x:col min="6" max="6" width="34" hidden="0" customWidth="1"/>
    <x:col min="7" max="7" width="18" hidden="0" customWidth="1"/>
    <x:col min="8" max="8" width="12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8" t="str">
        <x:v>feature_id</x:v>
      </x:c>
      <x:c r="B1" s="8" t="str">
        <x:v>model_id</x:v>
      </x:c>
      <x:c r="C1" s="18" t="str">
        <x:v>feature_order</x:v>
      </x:c>
      <x:c r="D1" s="8" t="str">
        <x:v>feature_key</x:v>
      </x:c>
      <x:c r="E1" s="8" t="str">
        <x:v>feature_title_ru</x:v>
      </x:c>
      <x:c r="F1" s="8" t="str">
        <x:v>feature_description_ru</x:v>
      </x:c>
      <x:c r="G1" s="8" t="str">
        <x:v>feature_type</x:v>
      </x:c>
      <x:c r="H1" s="8" t="str">
        <x:v>filterable</x:v>
      </x:c>
      <x:c r="I1" s="8" t="str">
        <x:v>lifecycle_status</x:v>
      </x:c>
      <x:c r="J1" s="8" t="str">
        <x:v>source_type</x:v>
      </x:c>
      <x:c r="K1" s="8" t="str">
        <x:v>source_id</x:v>
      </x:c>
    </x:row>
    <x:row r="2" ht="24" hidden="0" customHeight="1">
      <x:c r="A2" s="9" t="str">
        <x:v>BIZON-WHEEL-FEAT-ATLAS-01</x:v>
      </x:c>
      <x:c r="B2" s="9" t="str">
        <x:v>BIZON-WHEEL-MODEL-ATLAS</x:v>
      </x:c>
      <x:c r="C2" s="19" t="n">
        <x:v>1</x:v>
      </x:c>
      <x:c r="D2" s="9" t="str">
        <x:v>offroad_presence</x:v>
      </x:c>
      <x:c r="E2" s="9" t="str">
        <x:v>Внедорожный характер</x:v>
      </x:c>
      <x:c r="F2" s="9" t="str">
        <x:v>Выразительная геометрия подчёркивает SUV и пикапы.</x:v>
      </x:c>
      <x:c r="G2" s="9" t="str">
        <x:v>positioning</x:v>
      </x:c>
      <x:c r="H2" s="16" t="b">
        <x:v>0</x:v>
      </x:c>
      <x:c r="I2" s="9" t="str">
        <x:v>published</x:v>
      </x:c>
      <x:c r="J2" s="9" t="str">
        <x:v>internal_demo</x:v>
      </x:c>
      <x:c r="K2" s="9" t="str">
        <x:v>SRC-INTERNAL-DEMO-20260726</x:v>
      </x:c>
    </x:row>
    <x:row r="3" ht="24" hidden="0" customHeight="1">
      <x:c r="A3" s="10" t="str">
        <x:v>BIZON-WHEEL-FEAT-ATLAS-02</x:v>
      </x:c>
      <x:c r="B3" s="10" t="str">
        <x:v>BIZON-WHEEL-MODEL-ATLAS</x:v>
      </x:c>
      <x:c r="C3" s="20" t="n">
        <x:v>2</x:v>
      </x:c>
      <x:c r="D3" s="10" t="str">
        <x:v>dual_finish</x:v>
      </x:c>
      <x:c r="E3" s="10" t="str">
        <x:v>Две базовые отделки</x:v>
      </x:c>
      <x:c r="F3" s="10" t="str">
        <x:v>Satin Black и Machined Silver доступны в демонстрационной матрице.</x:v>
      </x:c>
      <x:c r="G3" s="10" t="str">
        <x:v>commercial</x:v>
      </x:c>
      <x:c r="H3" s="17" t="b">
        <x:v>0</x:v>
      </x:c>
      <x:c r="I3" s="10" t="str">
        <x:v>published</x:v>
      </x:c>
      <x:c r="J3" s="10" t="str">
        <x:v>internal_demo</x:v>
      </x:c>
      <x:c r="K3" s="10" t="str">
        <x:v>SRC-INTERNAL-DEMO-20260726</x:v>
      </x:c>
    </x:row>
    <x:row r="4" ht="24" hidden="0" customHeight="1">
      <x:c r="A4" s="9" t="str">
        <x:v>BIZON-WHEEL-FEAT-ATLAS-03</x:v>
      </x:c>
      <x:c r="B4" s="9" t="str">
        <x:v>BIZON-WHEEL-MODEL-ATLAS</x:v>
      </x:c>
      <x:c r="C4" s="19" t="n">
        <x:v>3</x:v>
      </x:c>
      <x:c r="D4" s="9" t="str">
        <x:v>custom_fitment</x:v>
      </x:c>
      <x:c r="E4" s="9" t="str">
        <x:v>Индивидуальная конфигурация</x:v>
      </x:c>
      <x:c r="F4" s="9" t="str">
        <x:v>Размер и вылет подбираются по допустимой производственной платформе.</x:v>
      </x:c>
      <x:c r="G4" s="9" t="str">
        <x:v>technical</x:v>
      </x:c>
      <x:c r="H4" s="16" t="b">
        <x:v>0</x:v>
      </x:c>
      <x:c r="I4" s="9" t="str">
        <x:v>published</x:v>
      </x:c>
      <x:c r="J4" s="9" t="str">
        <x:v>internal_demo</x:v>
      </x:c>
      <x:c r="K4" s="9" t="str">
        <x:v>SRC-INTERNAL-DEMO-20260726</x:v>
      </x:c>
    </x:row>
    <x:row r="5" ht="24" hidden="0" customHeight="1">
      <x:c r="A5" s="10" t="str">
        <x:v>BIZON-WHEEL-FEAT-VECTOR-01</x:v>
      </x:c>
      <x:c r="B5" s="10" t="str">
        <x:v>BIZON-WHEEL-MODEL-VECTOR</x:v>
      </x:c>
      <x:c r="C5" s="20" t="n">
        <x:v>1</x:v>
      </x:c>
      <x:c r="D5" s="10" t="str">
        <x:v>urban_precision</x:v>
      </x:c>
      <x:c r="E5" s="10" t="str">
        <x:v>Городская точность</x:v>
      </x:c>
      <x:c r="F5" s="10" t="str">
        <x:v>Ритм спиц рассчитан на лаконичный городской образ.</x:v>
      </x:c>
      <x:c r="G5" s="10" t="str">
        <x:v>positioning</x:v>
      </x:c>
      <x:c r="H5" s="17" t="b">
        <x:v>0</x:v>
      </x:c>
      <x:c r="I5" s="10" t="str">
        <x:v>published</x:v>
      </x:c>
      <x:c r="J5" s="10" t="str">
        <x:v>internal_demo</x:v>
      </x:c>
      <x:c r="K5" s="10" t="str">
        <x:v>SRC-INTERNAL-DEMO-20260726</x:v>
      </x:c>
    </x:row>
    <x:row r="6" ht="24" hidden="0" customHeight="1">
      <x:c r="A6" s="9" t="str">
        <x:v>BIZON-WHEEL-FEAT-VECTOR-02</x:v>
      </x:c>
      <x:c r="B6" s="9" t="str">
        <x:v>BIZON-WHEEL-MODEL-VECTOR</x:v>
      </x:c>
      <x:c r="C6" s="19" t="n">
        <x:v>2</x:v>
      </x:c>
      <x:c r="D6" s="9" t="str">
        <x:v>lightweight_focus</x:v>
      </x:c>
      <x:c r="E6" s="9" t="str">
        <x:v>Облегчённая архитектура</x:v>
      </x:c>
      <x:c r="F6" s="9" t="str">
        <x:v>Демонстрационные варианты ориентированы на умеренную массу.</x:v>
      </x:c>
      <x:c r="G6" s="9" t="str">
        <x:v>technical</x:v>
      </x:c>
      <x:c r="H6" s="16" t="b">
        <x:v>0</x:v>
      </x:c>
      <x:c r="I6" s="9" t="str">
        <x:v>published</x:v>
      </x:c>
      <x:c r="J6" s="9" t="str">
        <x:v>internal_demo</x:v>
      </x:c>
      <x:c r="K6" s="9" t="str">
        <x:v>SRC-INTERNAL-DEMO-20260726</x:v>
      </x:c>
    </x:row>
    <x:row r="7" ht="24" hidden="0" customHeight="1">
      <x:c r="A7" s="10" t="str">
        <x:v>BIZON-WHEEL-FEAT-VECTOR-03</x:v>
      </x:c>
      <x:c r="B7" s="10" t="str">
        <x:v>BIZON-WHEEL-MODEL-VECTOR</x:v>
      </x:c>
      <x:c r="C7" s="20" t="n">
        <x:v>3</x:v>
      </x:c>
      <x:c r="D7" s="10" t="str">
        <x:v>multi_construction</x:v>
      </x:c>
      <x:c r="E7" s="10" t="str">
        <x:v>Несколько конструкций</x:v>
      </x:c>
      <x:c r="F7" s="10" t="str">
        <x:v>Поддерживаются моноблок, двух- и трёхсоставные исполнения.</x:v>
      </x:c>
      <x:c r="G7" s="10" t="str">
        <x:v>technical</x:v>
      </x:c>
      <x:c r="H7" s="17" t="b">
        <x:v>0</x:v>
      </x:c>
      <x:c r="I7" s="10" t="str">
        <x:v>published</x:v>
      </x:c>
      <x:c r="J7" s="10" t="str">
        <x:v>internal_demo</x:v>
      </x:c>
      <x:c r="K7" s="10" t="str">
        <x:v>SRC-INTERNAL-DEMO-20260726</x:v>
      </x:c>
    </x:row>
    <x:row r="8" ht="24" hidden="0" customHeight="1">
      <x:c r="A8" s="9" t="str">
        <x:v>BIZON-WHEEL-FEAT-NOMAD-01</x:v>
      </x:c>
      <x:c r="B8" s="9" t="str">
        <x:v>BIZON-WHEEL-MODEL-NOMAD</x:v>
      </x:c>
      <x:c r="C8" s="19" t="n">
        <x:v>1</x:v>
      </x:c>
      <x:c r="D8" s="9" t="str">
        <x:v>expedition_profile</x:v>
      </x:c>
      <x:c r="E8" s="9" t="str">
        <x:v>Экспедиционный профиль</x:v>
      </x:c>
      <x:c r="F8" s="9" t="str">
        <x:v>Глубокая геометрия для SUV и пикапов.</x:v>
      </x:c>
      <x:c r="G8" s="9" t="str">
        <x:v>positioning</x:v>
      </x:c>
      <x:c r="H8" s="16" t="b">
        <x:v>0</x:v>
      </x:c>
      <x:c r="I8" s="9" t="str">
        <x:v>published</x:v>
      </x:c>
      <x:c r="J8" s="9" t="str">
        <x:v>internal_demo</x:v>
      </x:c>
      <x:c r="K8" s="9" t="str">
        <x:v>SRC-INTERNAL-DEMO-20260726</x:v>
      </x:c>
    </x:row>
    <x:row r="9" ht="24" hidden="0" customHeight="1">
      <x:c r="A9" s="10" t="str">
        <x:v>BIZON-WHEEL-FEAT-NOMAD-02</x:v>
      </x:c>
      <x:c r="B9" s="10" t="str">
        <x:v>BIZON-WHEEL-MODEL-NOMAD</x:v>
      </x:c>
      <x:c r="C9" s="20" t="n">
        <x:v>2</x:v>
      </x:c>
      <x:c r="D9" s="10" t="str">
        <x:v>beadlock_choice</x:v>
      </x:c>
      <x:c r="E9" s="10" t="str">
        <x:v>Выбор beadlock</x:v>
      </x:c>
      <x:c r="F9" s="10" t="str">
        <x:v>Доступны функциональное, декоративное и обычное исполнения.</x:v>
      </x:c>
      <x:c r="G9" s="10" t="str">
        <x:v>technical</x:v>
      </x:c>
      <x:c r="H9" s="17" t="b">
        <x:v>0</x:v>
      </x:c>
      <x:c r="I9" s="10" t="str">
        <x:v>published</x:v>
      </x:c>
      <x:c r="J9" s="10" t="str">
        <x:v>internal_demo</x:v>
      </x:c>
      <x:c r="K9" s="10" t="str">
        <x:v>SRC-INTERNAL-DEMO-20260726</x:v>
      </x:c>
    </x:row>
    <x:row r="10" ht="24" hidden="0" customHeight="1">
      <x:c r="A10" s="9" t="str">
        <x:v>BIZON-WHEEL-FEAT-NOMAD-03</x:v>
      </x:c>
      <x:c r="B10" s="9" t="str">
        <x:v>BIZON-WHEEL-MODEL-NOMAD</x:v>
      </x:c>
      <x:c r="C10" s="19" t="n">
        <x:v>3</x:v>
      </x:c>
      <x:c r="D10" s="9" t="str">
        <x:v>bronze_identity</x:v>
      </x:c>
      <x:c r="E10" s="9" t="str">
        <x:v>Бронзовая отделка</x:v>
      </x:c>
      <x:c r="F10" s="9" t="str">
        <x:v>Тёплый бронзовый акцент является базовой отделкой модели.</x:v>
      </x:c>
      <x:c r="G10" s="9" t="str">
        <x:v>commercial</x:v>
      </x:c>
      <x:c r="H10" s="16" t="b">
        <x:v>0</x:v>
      </x:c>
      <x:c r="I10" s="9" t="str">
        <x:v>published</x:v>
      </x:c>
      <x:c r="J10" s="9" t="str">
        <x:v>internal_demo</x:v>
      </x:c>
      <x:c r="K10" s="9" t="str">
        <x:v>SRC-INTERNAL-DEMO-20260726</x:v>
      </x:c>
    </x:row>
    <x:row r="11" ht="24" hidden="0" customHeight="1">
      <x:c r="A11" s="10" t="str">
        <x:v>BIZON-WHEEL-FEAT-EMBER-01</x:v>
      </x:c>
      <x:c r="B11" s="10" t="str">
        <x:v>BIZON-WHEEL-MODEL-EMBER</x:v>
      </x:c>
      <x:c r="C11" s="20" t="n">
        <x:v>1</x:v>
      </x:c>
      <x:c r="D11" s="10" t="str">
        <x:v>performance_stance</x:v>
      </x:c>
      <x:c r="E11" s="10" t="str">
        <x:v>Performance-посадка</x:v>
      </x:c>
      <x:c r="F11" s="10" t="str">
        <x:v>Поддерживаются разноширокие передние и задние конфигурации.</x:v>
      </x:c>
      <x:c r="G11" s="10" t="str">
        <x:v>technical</x:v>
      </x:c>
      <x:c r="H11" s="17" t="b">
        <x:v>0</x:v>
      </x:c>
      <x:c r="I11" s="10" t="str">
        <x:v>published</x:v>
      </x:c>
      <x:c r="J11" s="10" t="str">
        <x:v>internal_demo</x:v>
      </x:c>
      <x:c r="K11" s="10" t="str">
        <x:v>SRC-INTERNAL-DEMO-20260726</x:v>
      </x:c>
    </x:row>
    <x:row r="12" ht="24" hidden="0" customHeight="1">
      <x:c r="A12" s="9" t="str">
        <x:v>BIZON-WHEEL-FEAT-EMBER-02</x:v>
      </x:c>
      <x:c r="B12" s="9" t="str">
        <x:v>BIZON-WHEEL-MODEL-EMBER</x:v>
      </x:c>
      <x:c r="C12" s="19" t="n">
        <x:v>2</x:v>
      </x:c>
      <x:c r="D12" s="9" t="str">
        <x:v>color_accent</x:v>
      </x:c>
      <x:c r="E12" s="9" t="str">
        <x:v>Яркий акцент</x:v>
      </x:c>
      <x:c r="F12" s="9" t="str">
        <x:v>Красная отделка формирует узнаваемый характер модели.</x:v>
      </x:c>
      <x:c r="G12" s="9" t="str">
        <x:v>positioning</x:v>
      </x:c>
      <x:c r="H12" s="16" t="b">
        <x:v>0</x:v>
      </x:c>
      <x:c r="I12" s="9" t="str">
        <x:v>published</x:v>
      </x:c>
      <x:c r="J12" s="9" t="str">
        <x:v>internal_demo</x:v>
      </x:c>
      <x:c r="K12" s="9" t="str">
        <x:v>SRC-INTERNAL-DEMO-20260726</x:v>
      </x:c>
    </x:row>
    <x:row r="13" ht="24" hidden="0" customHeight="1">
      <x:c r="A13" s="10" t="str">
        <x:v>BIZON-WHEEL-FEAT-EMBER-03</x:v>
      </x:c>
      <x:c r="B13" s="10" t="str">
        <x:v>BIZON-WHEEL-MODEL-EMBER</x:v>
      </x:c>
      <x:c r="C13" s="20" t="n">
        <x:v>3</x:v>
      </x:c>
      <x:c r="D13" s="10" t="str">
        <x:v>staggered_fitment</x:v>
      </x:c>
      <x:c r="E13" s="10" t="str">
        <x:v>Разноширокий комплект</x:v>
      </x:c>
      <x:c r="F13" s="10" t="str">
        <x:v>Структура применяемости хранит отдельные параметры по осям.</x:v>
      </x:c>
      <x:c r="G13" s="10" t="str">
        <x:v>technical</x:v>
      </x:c>
      <x:c r="H13" s="17" t="b">
        <x:v>0</x:v>
      </x:c>
      <x:c r="I13" s="10" t="str">
        <x:v>published</x:v>
      </x:c>
      <x:c r="J13" s="10" t="str">
        <x:v>internal_demo</x:v>
      </x:c>
      <x:c r="K13" s="10" t="str">
        <x:v>SRC-INTERNAL-DEMO-20260726</x:v>
      </x:c>
    </x:row>
    <x:row r="14" ht="24" hidden="0" customHeight="1">
      <x:c r="A14" s="9" t="str">
        <x:v>BIZON-WHEEL-FEAT-BASTION-01</x:v>
      </x:c>
      <x:c r="B14" s="9" t="str">
        <x:v>BIZON-WHEEL-MODEL-BASTION</x:v>
      </x:c>
      <x:c r="C14" s="19" t="n">
        <x:v>1</x:v>
      </x:c>
      <x:c r="D14" s="9" t="str">
        <x:v>rugged_architecture</x:v>
      </x:c>
      <x:c r="E14" s="9" t="str">
        <x:v>Массивная архитектура</x:v>
      </x:c>
      <x:c r="F14" s="9" t="str">
        <x:v>Дизайн ориентирован на внедорожный визуальный образ.</x:v>
      </x:c>
      <x:c r="G14" s="9" t="str">
        <x:v>positioning</x:v>
      </x:c>
      <x:c r="H14" s="16" t="b">
        <x:v>0</x:v>
      </x:c>
      <x:c r="I14" s="9" t="str">
        <x:v>published</x:v>
      </x:c>
      <x:c r="J14" s="9" t="str">
        <x:v>internal_demo</x:v>
      </x:c>
      <x:c r="K14" s="9" t="str">
        <x:v>SRC-INTERNAL-DEMO-20260726</x:v>
      </x:c>
    </x:row>
    <x:row r="15" ht="24" hidden="0" customHeight="1">
      <x:c r="A15" s="10" t="str">
        <x:v>BIZON-WHEEL-FEAT-BASTION-02</x:v>
      </x:c>
      <x:c r="B15" s="10" t="str">
        <x:v>BIZON-WHEEL-MODEL-BASTION</x:v>
      </x:c>
      <x:c r="C15" s="20" t="n">
        <x:v>2</x:v>
      </x:c>
      <x:c r="D15" s="10" t="str">
        <x:v>functional_beadlock</x:v>
      </x:c>
      <x:c r="E15" s="10" t="str">
        <x:v>Функциональный beadlock</x:v>
      </x:c>
      <x:c r="F15" s="10" t="str">
        <x:v>Демонстрационные варианты поддерживают механический beadlock.</x:v>
      </x:c>
      <x:c r="G15" s="10" t="str">
        <x:v>technical</x:v>
      </x:c>
      <x:c r="H15" s="17" t="b">
        <x:v>0</x:v>
      </x:c>
      <x:c r="I15" s="10" t="str">
        <x:v>published</x:v>
      </x:c>
      <x:c r="J15" s="10" t="str">
        <x:v>internal_demo</x:v>
      </x:c>
      <x:c r="K15" s="10" t="str">
        <x:v>SRC-INTERNAL-DEMO-20260726</x:v>
      </x:c>
    </x:row>
    <x:row r="16" ht="36" hidden="0" customHeight="1">
      <x:c r="A16" s="9" t="str">
        <x:v>BIZON-WHEEL-FEAT-BASTION-03</x:v>
      </x:c>
      <x:c r="B16" s="9" t="str">
        <x:v>BIZON-WHEEL-MODEL-BASTION</x:v>
      </x:c>
      <x:c r="C16" s="19" t="n">
        <x:v>3</x:v>
      </x:c>
      <x:c r="D16" s="9" t="str">
        <x:v>high_load</x:v>
      </x:c>
      <x:c r="E16" s="9" t="str">
        <x:v>Повышенная нагрузка</x:v>
      </x:c>
      <x:c r="F16" s="9" t="str">
        <x:v>Варианты имеют повышенную демонстрационную нагрузочную способность.</x:v>
      </x:c>
      <x:c r="G16" s="9" t="str">
        <x:v>technical</x:v>
      </x:c>
      <x:c r="H16" s="16" t="b">
        <x:v>0</x:v>
      </x:c>
      <x:c r="I16" s="9" t="str">
        <x:v>published</x:v>
      </x:c>
      <x:c r="J16" s="9" t="str">
        <x:v>internal_demo</x:v>
      </x:c>
      <x:c r="K16" s="9" t="str">
        <x:v>SRC-INTERNAL-DEMO-20260726</x:v>
      </x:c>
    </x:row>
  </x:sheetData>
  <x:conditionalFormatting sqref="I2:I16">
    <x:cfRule type="containsText" dxfId="27" priority="1" operator="containsText" text="published"/>
    <x:cfRule type="containsText" dxfId="28" priority="2" operator="containsText" text="ok"/>
    <x:cfRule type="containsText" dxfId="29" priority="3" operator="containsText" text="pass"/>
    <x:cfRule type="containsText" dxfId="30" priority="4" operator="containsText" text="compatible"/>
    <x:cfRule type="containsText" dxfId="31" priority="5" operator="containsText" text="review"/>
    <x:cfRule type="containsText" dxfId="32" priority="6" operator="containsText" text="conditional"/>
    <x:cfRule type="containsText" dxfId="33" priority="7" operator="containsText" text="error"/>
    <x:cfRule type="containsText" dxfId="34" priority="8" operator="containsText" text="fail"/>
    <x:cfRule type="containsText" dxfId="35" priority="9" operator="containsText" text="archived"/>
  </x:conditionalFormatting>
  <x:dataValidations count="1">
    <x:dataValidation type="list" sqref="I2:I16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12eeab5d1341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3" hidden="0" customWidth="1"/>
    <x:col min="4" max="4" width="13" hidden="0" customWidth="1"/>
    <x:col min="5" max="5" width="12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30" hidden="0" customWidth="1"/>
    <x:col min="11" max="11" width="30" hidden="0" customWidth="1"/>
    <x:col min="12" max="12" width="30" hidden="0" customWidth="1"/>
    <x:col min="13" max="13" width="18" hidden="0" customWidth="1"/>
    <x:col min="14" max="14" width="18" hidden="0" customWidth="1"/>
    <x:col min="15" max="15" width="18" hidden="0" customWidth="1"/>
    <x:col min="16" max="16" width="26" hidden="0" customWidth="1"/>
  </x:cols>
  <x:sheetData>
    <x:row r="1" ht="30" customHeight="1">
      <x:c r="A1" s="8" t="str">
        <x:v>platform_id</x:v>
      </x:c>
      <x:c r="B1" s="8" t="str">
        <x:v>model_id</x:v>
      </x:c>
      <x:c r="C1" s="8" t="str">
        <x:v>platform_name</x:v>
      </x:c>
      <x:c r="D1" s="18" t="str">
        <x:v>diameter_in</x:v>
      </x:c>
      <x:c r="E1" s="18" t="str">
        <x:v>width_in</x:v>
      </x:c>
      <x:c r="F1" s="18" t="str">
        <x:v>offset_et_min_mm</x:v>
      </x:c>
      <x:c r="G1" s="18" t="str">
        <x:v>offset_et_max_mm</x:v>
      </x:c>
      <x:c r="H1" s="8" t="str">
        <x:v>construction_type</x:v>
      </x:c>
      <x:c r="I1" s="18" t="str">
        <x:v>max_load_kg</x:v>
      </x:c>
      <x:c r="J1" s="8" t="str">
        <x:v>allowed_face_profiles</x:v>
      </x:c>
      <x:c r="K1" s="8" t="str">
        <x:v>allowed_beadlock_types</x:v>
      </x:c>
      <x:c r="L1" s="8" t="str">
        <x:v>allowed_finish_keys</x:v>
      </x:c>
      <x:c r="M1" s="8" t="str">
        <x:v>brake_constraint</x:v>
      </x:c>
      <x:c r="N1" s="8" t="str">
        <x:v>lifecycle_status</x:v>
      </x:c>
      <x:c r="O1" s="8" t="str">
        <x:v>source_type</x:v>
      </x:c>
      <x:c r="P1" s="8" t="str">
        <x:v>source_id</x:v>
      </x:c>
    </x:row>
    <x:row r="2" ht="24" hidden="0" customHeight="1">
      <x:c r="A2" s="9" t="str">
        <x:v>PLAT-ATLAS-17-85</x:v>
      </x:c>
      <x:c r="B2" s="9" t="str">
        <x:v>BIZON-WHEEL-MODEL-ATLAS</x:v>
      </x:c>
      <x:c r="C2" s="9" t="str">
        <x:v>17×8.5</x:v>
      </x:c>
      <x:c r="D2" s="25" t="n">
        <x:v>17</x:v>
      </x:c>
      <x:c r="E2" s="25" t="n">
        <x:v>8.5</x:v>
      </x:c>
      <x:c r="F2" s="27" t="n">
        <x:v>-10</x:v>
      </x:c>
      <x:c r="G2" s="27" t="n">
        <x:v>10</x:v>
      </x:c>
      <x:c r="H2" s="9" t="str">
        <x:v>monoblock</x:v>
      </x:c>
      <x:c r="I2" s="29" t="n">
        <x:v>1100</x:v>
      </x:c>
      <x:c r="J2" s="9" t="str">
        <x:v>concave|concave</x:v>
      </x:c>
      <x:c r="K2" s="9" t="str">
        <x:v>none|simulated</x:v>
      </x:c>
      <x:c r="L2" s="9" t="str">
        <x:v>satin_black|graphite|bronze|red|machined_silver|brushed_clear|dark_graphite</x:v>
      </x:c>
      <x:c r="M2" s="9" t="str">
        <x:v>Проверить по шаблону тормозного пакета.</x:v>
      </x:c>
      <x:c r="N2" s="9" t="str">
        <x:v>published</x:v>
      </x:c>
      <x:c r="O2" s="9" t="str">
        <x:v>internal_demo</x:v>
      </x:c>
      <x:c r="P2" s="9" t="str">
        <x:v>SRC-INTERNAL-DEMO-20260726</x:v>
      </x:c>
    </x:row>
    <x:row r="3" ht="24" hidden="0" customHeight="1">
      <x:c r="A3" s="10" t="str">
        <x:v>PLAT-ATLAS-18-9</x:v>
      </x:c>
      <x:c r="B3" s="10" t="str">
        <x:v>BIZON-WHEEL-MODEL-ATLAS</x:v>
      </x:c>
      <x:c r="C3" s="10" t="str">
        <x:v>18×9</x:v>
      </x:c>
      <x:c r="D3" s="26" t="n">
        <x:v>18</x:v>
      </x:c>
      <x:c r="E3" s="26" t="n">
        <x:v>9</x:v>
      </x:c>
      <x:c r="F3" s="28" t="n">
        <x:v>-22</x:v>
      </x:c>
      <x:c r="G3" s="28" t="n">
        <x:v>-2</x:v>
      </x:c>
      <x:c r="H3" s="10" t="str">
        <x:v>monoblock</x:v>
      </x:c>
      <x:c r="I3" s="30" t="n">
        <x:v>1150</x:v>
      </x:c>
      <x:c r="J3" s="10" t="str">
        <x:v>concave|deep_concave</x:v>
      </x:c>
      <x:c r="K3" s="10" t="str">
        <x:v>none|simulated</x:v>
      </x:c>
      <x:c r="L3" s="10" t="str">
        <x:v>satin_black|graphite|bronze|red|machined_silver|brushed_clear|dark_graphite</x:v>
      </x:c>
      <x:c r="M3" s="10" t="str">
        <x:v>Проверить по шаблону тормозного пакета.</x:v>
      </x:c>
      <x:c r="N3" s="10" t="str">
        <x:v>published</x:v>
      </x:c>
      <x:c r="O3" s="10" t="str">
        <x:v>internal_demo</x:v>
      </x:c>
      <x:c r="P3" s="10" t="str">
        <x:v>SRC-INTERNAL-DEMO-20260726</x:v>
      </x:c>
    </x:row>
    <x:row r="4" ht="24" hidden="0" customHeight="1">
      <x:c r="A4" s="9" t="str">
        <x:v>PLAT-ATLAS-20-9</x:v>
      </x:c>
      <x:c r="B4" s="9" t="str">
        <x:v>BIZON-WHEEL-MODEL-ATLAS</x:v>
      </x:c>
      <x:c r="C4" s="9" t="str">
        <x:v>20×9</x:v>
      </x:c>
      <x:c r="D4" s="25" t="n">
        <x:v>20</x:v>
      </x:c>
      <x:c r="E4" s="25" t="n">
        <x:v>9</x:v>
      </x:c>
      <x:c r="F4" s="27" t="n">
        <x:v>8</x:v>
      </x:c>
      <x:c r="G4" s="27" t="n">
        <x:v>28</x:v>
      </x:c>
      <x:c r="H4" s="9" t="str">
        <x:v>monoblock</x:v>
      </x:c>
      <x:c r="I4" s="29" t="n">
        <x:v>1050</x:v>
      </x:c>
      <x:c r="J4" s="9" t="str">
        <x:v>concave|concave</x:v>
      </x:c>
      <x:c r="K4" s="9" t="str">
        <x:v>none|simulated</x:v>
      </x:c>
      <x:c r="L4" s="9" t="str">
        <x:v>satin_black|graphite|bronze|red|machined_silver|brushed_clear|dark_graphite</x:v>
      </x:c>
      <x:c r="M4" s="9" t="str">
        <x:v>Проверить по шаблону тормозного пакета.</x:v>
      </x:c>
      <x:c r="N4" s="9" t="str">
        <x:v>published</x:v>
      </x:c>
      <x:c r="O4" s="9" t="str">
        <x:v>internal_demo</x:v>
      </x:c>
      <x:c r="P4" s="9" t="str">
        <x:v>SRC-INTERNAL-DEMO-20260726</x:v>
      </x:c>
    </x:row>
    <x:row r="5" ht="24" hidden="0" customHeight="1">
      <x:c r="A5" s="10" t="str">
        <x:v>PLAT-ATLAS-20-10</x:v>
      </x:c>
      <x:c r="B5" s="10" t="str">
        <x:v>BIZON-WHEEL-MODEL-ATLAS</x:v>
      </x:c>
      <x:c r="C5" s="10" t="str">
        <x:v>20×10</x:v>
      </x:c>
      <x:c r="D5" s="26" t="n">
        <x:v>20</x:v>
      </x:c>
      <x:c r="E5" s="26" t="n">
        <x:v>10</x:v>
      </x:c>
      <x:c r="F5" s="28" t="n">
        <x:v>-28</x:v>
      </x:c>
      <x:c r="G5" s="28" t="n">
        <x:v>-8</x:v>
      </x:c>
      <x:c r="H5" s="10" t="str">
        <x:v>two_piece</x:v>
      </x:c>
      <x:c r="I5" s="30" t="n">
        <x:v>1100</x:v>
      </x:c>
      <x:c r="J5" s="10" t="str">
        <x:v>concave|deep_concave</x:v>
      </x:c>
      <x:c r="K5" s="10" t="str">
        <x:v>none|simulated|functional</x:v>
      </x:c>
      <x:c r="L5" s="10" t="str">
        <x:v>satin_black|graphite|bronze|red|machined_silver|brushed_clear|dark_graphite</x:v>
      </x:c>
      <x:c r="M5" s="10" t="str">
        <x:v>Проверить по шаблону тормозного пакета.</x:v>
      </x:c>
      <x:c r="N5" s="10" t="str">
        <x:v>published</x:v>
      </x:c>
      <x:c r="O5" s="10" t="str">
        <x:v>internal_demo</x:v>
      </x:c>
      <x:c r="P5" s="10" t="str">
        <x:v>SRC-INTERNAL-DEMO-20260726</x:v>
      </x:c>
    </x:row>
    <x:row r="6" ht="24" hidden="0" customHeight="1">
      <x:c r="A6" s="9" t="str">
        <x:v>PLAT-VECTOR-18-85</x:v>
      </x:c>
      <x:c r="B6" s="9" t="str">
        <x:v>BIZON-WHEEL-MODEL-VECTOR</x:v>
      </x:c>
      <x:c r="C6" s="9" t="str">
        <x:v>18×8.5</x:v>
      </x:c>
      <x:c r="D6" s="25" t="n">
        <x:v>18</x:v>
      </x:c>
      <x:c r="E6" s="25" t="n">
        <x:v>8.5</x:v>
      </x:c>
      <x:c r="F6" s="27" t="n">
        <x:v>25</x:v>
      </x:c>
      <x:c r="G6" s="27" t="n">
        <x:v>45</x:v>
      </x:c>
      <x:c r="H6" s="9" t="str">
        <x:v>monoblock</x:v>
      </x:c>
      <x:c r="I6" s="29" t="n">
        <x:v>750</x:v>
      </x:c>
      <x:c r="J6" s="9" t="str">
        <x:v>flat|concave</x:v>
      </x:c>
      <x:c r="K6" s="9" t="str">
        <x:v>none|simulated</x:v>
      </x:c>
      <x:c r="L6" s="9" t="str">
        <x:v>satin_black|graphite|bronze|red|machined_silver|brushed_clear|dark_graphite</x:v>
      </x:c>
      <x:c r="M6" s="9" t="str">
        <x:v>Проверить по шаблону тормозного пакета.</x:v>
      </x:c>
      <x:c r="N6" s="9" t="str">
        <x:v>published</x:v>
      </x:c>
      <x:c r="O6" s="9" t="str">
        <x:v>internal_demo</x:v>
      </x:c>
      <x:c r="P6" s="9" t="str">
        <x:v>SRC-INTERNAL-DEMO-20260726</x:v>
      </x:c>
    </x:row>
    <x:row r="7" ht="24" hidden="0" customHeight="1">
      <x:c r="A7" s="10" t="str">
        <x:v>PLAT-VECTOR-19-95</x:v>
      </x:c>
      <x:c r="B7" s="10" t="str">
        <x:v>BIZON-WHEEL-MODEL-VECTOR</x:v>
      </x:c>
      <x:c r="C7" s="10" t="str">
        <x:v>19×9.5</x:v>
      </x:c>
      <x:c r="D7" s="26" t="n">
        <x:v>19</x:v>
      </x:c>
      <x:c r="E7" s="26" t="n">
        <x:v>9.5</x:v>
      </x:c>
      <x:c r="F7" s="28" t="n">
        <x:v>20</x:v>
      </x:c>
      <x:c r="G7" s="28" t="n">
        <x:v>40</x:v>
      </x:c>
      <x:c r="H7" s="10" t="str">
        <x:v>monoblock</x:v>
      </x:c>
      <x:c r="I7" s="30" t="n">
        <x:v>780</x:v>
      </x:c>
      <x:c r="J7" s="10" t="str">
        <x:v>concave|concave</x:v>
      </x:c>
      <x:c r="K7" s="10" t="str">
        <x:v>none|simulated</x:v>
      </x:c>
      <x:c r="L7" s="10" t="str">
        <x:v>satin_black|graphite|bronze|red|machined_silver|brushed_clear|dark_graphite</x:v>
      </x:c>
      <x:c r="M7" s="10" t="str">
        <x:v>Проверить по шаблону тормозного пакета.</x:v>
      </x:c>
      <x:c r="N7" s="10" t="str">
        <x:v>published</x:v>
      </x:c>
      <x:c r="O7" s="10" t="str">
        <x:v>internal_demo</x:v>
      </x:c>
      <x:c r="P7" s="10" t="str">
        <x:v>SRC-INTERNAL-DEMO-20260726</x:v>
      </x:c>
    </x:row>
    <x:row r="8" ht="24" hidden="0" customHeight="1">
      <x:c r="A8" s="9" t="str">
        <x:v>PLAT-VECTOR-20-9</x:v>
      </x:c>
      <x:c r="B8" s="9" t="str">
        <x:v>BIZON-WHEEL-MODEL-VECTOR</x:v>
      </x:c>
      <x:c r="C8" s="9" t="str">
        <x:v>20×9</x:v>
      </x:c>
      <x:c r="D8" s="25" t="n">
        <x:v>20</x:v>
      </x:c>
      <x:c r="E8" s="25" t="n">
        <x:v>9</x:v>
      </x:c>
      <x:c r="F8" s="27" t="n">
        <x:v>25</x:v>
      </x:c>
      <x:c r="G8" s="27" t="n">
        <x:v>45</x:v>
      </x:c>
      <x:c r="H8" s="9" t="str">
        <x:v>monoblock</x:v>
      </x:c>
      <x:c r="I8" s="29" t="n">
        <x:v>800</x:v>
      </x:c>
      <x:c r="J8" s="9" t="str">
        <x:v>flat|concave</x:v>
      </x:c>
      <x:c r="K8" s="9" t="str">
        <x:v>none|simulated</x:v>
      </x:c>
      <x:c r="L8" s="9" t="str">
        <x:v>satin_black|graphite|bronze|red|machined_silver|brushed_clear|dark_graphite</x:v>
      </x:c>
      <x:c r="M8" s="9" t="str">
        <x:v>Проверить по шаблону тормозного пакета.</x:v>
      </x:c>
      <x:c r="N8" s="9" t="str">
        <x:v>published</x:v>
      </x:c>
      <x:c r="O8" s="9" t="str">
        <x:v>internal_demo</x:v>
      </x:c>
      <x:c r="P8" s="9" t="str">
        <x:v>SRC-INTERNAL-DEMO-20260726</x:v>
      </x:c>
    </x:row>
    <x:row r="9" ht="24" hidden="0" customHeight="1">
      <x:c r="A9" s="10" t="str">
        <x:v>PLAT-VECTOR-20-105</x:v>
      </x:c>
      <x:c r="B9" s="10" t="str">
        <x:v>BIZON-WHEEL-MODEL-VECTOR</x:v>
      </x:c>
      <x:c r="C9" s="10" t="str">
        <x:v>20×10.5</x:v>
      </x:c>
      <x:c r="D9" s="26" t="n">
        <x:v>20</x:v>
      </x:c>
      <x:c r="E9" s="26" t="n">
        <x:v>10.5</x:v>
      </x:c>
      <x:c r="F9" s="28" t="n">
        <x:v>30</x:v>
      </x:c>
      <x:c r="G9" s="28" t="n">
        <x:v>50</x:v>
      </x:c>
      <x:c r="H9" s="10" t="str">
        <x:v>two_piece</x:v>
      </x:c>
      <x:c r="I9" s="30" t="n">
        <x:v>820</x:v>
      </x:c>
      <x:c r="J9" s="10" t="str">
        <x:v>concave|deep_concave</x:v>
      </x:c>
      <x:c r="K9" s="10" t="str">
        <x:v>none|simulated</x:v>
      </x:c>
      <x:c r="L9" s="10" t="str">
        <x:v>satin_black|graphite|bronze|red|machined_silver|brushed_clear|dark_graphite</x:v>
      </x:c>
      <x:c r="M9" s="10" t="str">
        <x:v>Проверить по шаблону тормозного пакета.</x:v>
      </x:c>
      <x:c r="N9" s="10" t="str">
        <x:v>published</x:v>
      </x:c>
      <x:c r="O9" s="10" t="str">
        <x:v>internal_demo</x:v>
      </x:c>
      <x:c r="P9" s="10" t="str">
        <x:v>SRC-INTERNAL-DEMO-20260726</x:v>
      </x:c>
    </x:row>
    <x:row r="10" ht="24" hidden="0" customHeight="1">
      <x:c r="A10" s="9" t="str">
        <x:v>PLAT-VECTOR-21-105</x:v>
      </x:c>
      <x:c r="B10" s="9" t="str">
        <x:v>BIZON-WHEEL-MODEL-VECTOR</x:v>
      </x:c>
      <x:c r="C10" s="9" t="str">
        <x:v>21×10.5</x:v>
      </x:c>
      <x:c r="D10" s="25" t="n">
        <x:v>21</x:v>
      </x:c>
      <x:c r="E10" s="25" t="n">
        <x:v>10.5</x:v>
      </x:c>
      <x:c r="F10" s="27" t="n">
        <x:v>28</x:v>
      </x:c>
      <x:c r="G10" s="27" t="n">
        <x:v>48</x:v>
      </x:c>
      <x:c r="H10" s="9" t="str">
        <x:v>three_piece</x:v>
      </x:c>
      <x:c r="I10" s="29" t="n">
        <x:v>850</x:v>
      </x:c>
      <x:c r="J10" s="9" t="str">
        <x:v>concave|deep_concave</x:v>
      </x:c>
      <x:c r="K10" s="9" t="str">
        <x:v>none|simulated</x:v>
      </x:c>
      <x:c r="L10" s="9" t="str">
        <x:v>satin_black|graphite|bronze|red|machined_silver|brushed_clear|dark_graphite</x:v>
      </x:c>
      <x:c r="M10" s="9" t="str">
        <x:v>Проверить по шаблону тормозного пакета.</x:v>
      </x:c>
      <x:c r="N10" s="9" t="str">
        <x:v>published</x:v>
      </x:c>
      <x:c r="O10" s="9" t="str">
        <x:v>internal_demo</x:v>
      </x:c>
      <x:c r="P10" s="9" t="str">
        <x:v>SRC-INTERNAL-DEMO-20260726</x:v>
      </x:c>
    </x:row>
    <x:row r="11" ht="24" hidden="0" customHeight="1">
      <x:c r="A11" s="10" t="str">
        <x:v>PLAT-NOMAD-17-85</x:v>
      </x:c>
      <x:c r="B11" s="10" t="str">
        <x:v>BIZON-WHEEL-MODEL-NOMAD</x:v>
      </x:c>
      <x:c r="C11" s="10" t="str">
        <x:v>17×8.5</x:v>
      </x:c>
      <x:c r="D11" s="26" t="n">
        <x:v>17</x:v>
      </x:c>
      <x:c r="E11" s="26" t="n">
        <x:v>8.5</x:v>
      </x:c>
      <x:c r="F11" s="28" t="n">
        <x:v>0</x:v>
      </x:c>
      <x:c r="G11" s="28" t="n">
        <x:v>20</x:v>
      </x:c>
      <x:c r="H11" s="10" t="str">
        <x:v>monoblock</x:v>
      </x:c>
      <x:c r="I11" s="30" t="n">
        <x:v>1150</x:v>
      </x:c>
      <x:c r="J11" s="10" t="str">
        <x:v>concave|concave</x:v>
      </x:c>
      <x:c r="K11" s="10" t="str">
        <x:v>none|simulated|functional</x:v>
      </x:c>
      <x:c r="L11" s="10" t="str">
        <x:v>satin_black|graphite|bronze|red|machined_silver|brushed_clear|dark_graphite</x:v>
      </x:c>
      <x:c r="M11" s="10" t="str">
        <x:v>Проверить по шаблону тормозного пакета.</x:v>
      </x:c>
      <x:c r="N11" s="10" t="str">
        <x:v>published</x:v>
      </x:c>
      <x:c r="O11" s="10" t="str">
        <x:v>internal_demo</x:v>
      </x:c>
      <x:c r="P11" s="10" t="str">
        <x:v>SRC-INTERNAL-DEMO-20260726</x:v>
      </x:c>
    </x:row>
    <x:row r="12" ht="24" hidden="0" customHeight="1">
      <x:c r="A12" s="9" t="str">
        <x:v>PLAT-NOMAD-18-9</x:v>
      </x:c>
      <x:c r="B12" s="9" t="str">
        <x:v>BIZON-WHEEL-MODEL-NOMAD</x:v>
      </x:c>
      <x:c r="C12" s="9" t="str">
        <x:v>18×9</x:v>
      </x:c>
      <x:c r="D12" s="25" t="n">
        <x:v>18</x:v>
      </x:c>
      <x:c r="E12" s="25" t="n">
        <x:v>9</x:v>
      </x:c>
      <x:c r="F12" s="27" t="n">
        <x:v>-10</x:v>
      </x:c>
      <x:c r="G12" s="27" t="n">
        <x:v>10</x:v>
      </x:c>
      <x:c r="H12" s="9" t="str">
        <x:v>monoblock</x:v>
      </x:c>
      <x:c r="I12" s="29" t="n">
        <x:v>1200</x:v>
      </x:c>
      <x:c r="J12" s="9" t="str">
        <x:v>concave|deep_concave</x:v>
      </x:c>
      <x:c r="K12" s="9" t="str">
        <x:v>none|simulated|functional</x:v>
      </x:c>
      <x:c r="L12" s="9" t="str">
        <x:v>satin_black|graphite|bronze|red|machined_silver|brushed_clear|dark_graphite</x:v>
      </x:c>
      <x:c r="M12" s="9" t="str">
        <x:v>Проверить по шаблону тормозного пакета.</x:v>
      </x:c>
      <x:c r="N12" s="9" t="str">
        <x:v>published</x:v>
      </x:c>
      <x:c r="O12" s="9" t="str">
        <x:v>internal_demo</x:v>
      </x:c>
      <x:c r="P12" s="9" t="str">
        <x:v>SRC-INTERNAL-DEMO-20260726</x:v>
      </x:c>
    </x:row>
    <x:row r="13" ht="24" hidden="0" customHeight="1">
      <x:c r="A13" s="10" t="str">
        <x:v>PLAT-NOMAD-18-9-2P</x:v>
      </x:c>
      <x:c r="B13" s="10" t="str">
        <x:v>BIZON-WHEEL-MODEL-NOMAD</x:v>
      </x:c>
      <x:c r="C13" s="10" t="str">
        <x:v>18×9</x:v>
      </x:c>
      <x:c r="D13" s="26" t="n">
        <x:v>18</x:v>
      </x:c>
      <x:c r="E13" s="26" t="n">
        <x:v>9</x:v>
      </x:c>
      <x:c r="F13" s="28" t="n">
        <x:v>8</x:v>
      </x:c>
      <x:c r="G13" s="28" t="n">
        <x:v>28</x:v>
      </x:c>
      <x:c r="H13" s="10" t="str">
        <x:v>two_piece</x:v>
      </x:c>
      <x:c r="I13" s="30" t="n">
        <x:v>1150</x:v>
      </x:c>
      <x:c r="J13" s="10" t="str">
        <x:v>concave|concave</x:v>
      </x:c>
      <x:c r="K13" s="10" t="str">
        <x:v>none|simulated</x:v>
      </x:c>
      <x:c r="L13" s="10" t="str">
        <x:v>satin_black|graphite|bronze|red|machined_silver|brushed_clear|dark_graphite</x:v>
      </x:c>
      <x:c r="M13" s="10" t="str">
        <x:v>Проверить по шаблону тормозного пакета.</x:v>
      </x:c>
      <x:c r="N13" s="10" t="str">
        <x:v>published</x:v>
      </x:c>
      <x:c r="O13" s="10" t="str">
        <x:v>internal_demo</x:v>
      </x:c>
      <x:c r="P13" s="10" t="str">
        <x:v>SRC-INTERNAL-DEMO-20260726</x:v>
      </x:c>
    </x:row>
    <x:row r="14" ht="24" hidden="0" customHeight="1">
      <x:c r="A14" s="9" t="str">
        <x:v>PLAT-NOMAD-20-9</x:v>
      </x:c>
      <x:c r="B14" s="9" t="str">
        <x:v>BIZON-WHEEL-MODEL-NOMAD</x:v>
      </x:c>
      <x:c r="C14" s="9" t="str">
        <x:v>20×9</x:v>
      </x:c>
      <x:c r="D14" s="25" t="n">
        <x:v>20</x:v>
      </x:c>
      <x:c r="E14" s="25" t="n">
        <x:v>9</x:v>
      </x:c>
      <x:c r="F14" s="27" t="n">
        <x:v>15</x:v>
      </x:c>
      <x:c r="G14" s="27" t="n">
        <x:v>35</x:v>
      </x:c>
      <x:c r="H14" s="9" t="str">
        <x:v>monoblock</x:v>
      </x:c>
      <x:c r="I14" s="29" t="n">
        <x:v>1100</x:v>
      </x:c>
      <x:c r="J14" s="9" t="str">
        <x:v>concave|concave</x:v>
      </x:c>
      <x:c r="K14" s="9" t="str">
        <x:v>none|simulated</x:v>
      </x:c>
      <x:c r="L14" s="9" t="str">
        <x:v>satin_black|graphite|bronze|red|machined_silver|brushed_clear|dark_graphite</x:v>
      </x:c>
      <x:c r="M14" s="9" t="str">
        <x:v>Проверить по шаблону тормозного пакета.</x:v>
      </x:c>
      <x:c r="N14" s="9" t="str">
        <x:v>published</x:v>
      </x:c>
      <x:c r="O14" s="9" t="str">
        <x:v>internal_demo</x:v>
      </x:c>
      <x:c r="P14" s="9" t="str">
        <x:v>SRC-INTERNAL-DEMO-20260726</x:v>
      </x:c>
    </x:row>
    <x:row r="15" ht="24" hidden="0" customHeight="1">
      <x:c r="A15" s="10" t="str">
        <x:v>PLAT-EMBER-18-9</x:v>
      </x:c>
      <x:c r="B15" s="10" t="str">
        <x:v>BIZON-WHEEL-MODEL-EMBER</x:v>
      </x:c>
      <x:c r="C15" s="10" t="str">
        <x:v>18×9</x:v>
      </x:c>
      <x:c r="D15" s="26" t="n">
        <x:v>18</x:v>
      </x:c>
      <x:c r="E15" s="26" t="n">
        <x:v>9</x:v>
      </x:c>
      <x:c r="F15" s="28" t="n">
        <x:v>15</x:v>
      </x:c>
      <x:c r="G15" s="28" t="n">
        <x:v>35</x:v>
      </x:c>
      <x:c r="H15" s="10" t="str">
        <x:v>monoblock</x:v>
      </x:c>
      <x:c r="I15" s="30" t="n">
        <x:v>760</x:v>
      </x:c>
      <x:c r="J15" s="10" t="str">
        <x:v>concave|concave</x:v>
      </x:c>
      <x:c r="K15" s="10" t="str">
        <x:v>none|simulated</x:v>
      </x:c>
      <x:c r="L15" s="10" t="str">
        <x:v>satin_black|graphite|bronze|red|machined_silver|brushed_clear|dark_graphite</x:v>
      </x:c>
      <x:c r="M15" s="10" t="str">
        <x:v>Проверить по шаблону тормозного пакета.</x:v>
      </x:c>
      <x:c r="N15" s="10" t="str">
        <x:v>published</x:v>
      </x:c>
      <x:c r="O15" s="10" t="str">
        <x:v>internal_demo</x:v>
      </x:c>
      <x:c r="P15" s="10" t="str">
        <x:v>SRC-INTERNAL-DEMO-20260726</x:v>
      </x:c>
    </x:row>
    <x:row r="16" ht="24" hidden="0" customHeight="1">
      <x:c r="A16" s="9" t="str">
        <x:v>PLAT-EMBER-18-10</x:v>
      </x:c>
      <x:c r="B16" s="9" t="str">
        <x:v>BIZON-WHEEL-MODEL-EMBER</x:v>
      </x:c>
      <x:c r="C16" s="9" t="str">
        <x:v>18×10</x:v>
      </x:c>
      <x:c r="D16" s="25" t="n">
        <x:v>18</x:v>
      </x:c>
      <x:c r="E16" s="25" t="n">
        <x:v>10</x:v>
      </x:c>
      <x:c r="F16" s="27" t="n">
        <x:v>28</x:v>
      </x:c>
      <x:c r="G16" s="27" t="n">
        <x:v>48</x:v>
      </x:c>
      <x:c r="H16" s="9" t="str">
        <x:v>two_piece</x:v>
      </x:c>
      <x:c r="I16" s="29" t="n">
        <x:v>780</x:v>
      </x:c>
      <x:c r="J16" s="9" t="str">
        <x:v>concave|deep_concave</x:v>
      </x:c>
      <x:c r="K16" s="9" t="str">
        <x:v>none|simulated</x:v>
      </x:c>
      <x:c r="L16" s="9" t="str">
        <x:v>satin_black|graphite|bronze|red|machined_silver|brushed_clear|dark_graphite</x:v>
      </x:c>
      <x:c r="M16" s="9" t="str">
        <x:v>Проверить по шаблону тормозного пакета.</x:v>
      </x:c>
      <x:c r="N16" s="9" t="str">
        <x:v>published</x:v>
      </x:c>
      <x:c r="O16" s="9" t="str">
        <x:v>internal_demo</x:v>
      </x:c>
      <x:c r="P16" s="9" t="str">
        <x:v>SRC-INTERNAL-DEMO-20260726</x:v>
      </x:c>
    </x:row>
    <x:row r="17" ht="24" hidden="0" customHeight="1">
      <x:c r="A17" s="10" t="str">
        <x:v>PLAT-EMBER-19-95</x:v>
      </x:c>
      <x:c r="B17" s="10" t="str">
        <x:v>BIZON-WHEEL-MODEL-EMBER</x:v>
      </x:c>
      <x:c r="C17" s="10" t="str">
        <x:v>19×9.5</x:v>
      </x:c>
      <x:c r="D17" s="26" t="n">
        <x:v>19</x:v>
      </x:c>
      <x:c r="E17" s="26" t="n">
        <x:v>9.5</x:v>
      </x:c>
      <x:c r="F17" s="28" t="n">
        <x:v>12</x:v>
      </x:c>
      <x:c r="G17" s="28" t="n">
        <x:v>32</x:v>
      </x:c>
      <x:c r="H17" s="10" t="str">
        <x:v>monoblock</x:v>
      </x:c>
      <x:c r="I17" s="30" t="n">
        <x:v>790</x:v>
      </x:c>
      <x:c r="J17" s="10" t="str">
        <x:v>concave|concave</x:v>
      </x:c>
      <x:c r="K17" s="10" t="str">
        <x:v>none|simulated</x:v>
      </x:c>
      <x:c r="L17" s="10" t="str">
        <x:v>satin_black|graphite|bronze|red|machined_silver|brushed_clear|dark_graphite</x:v>
      </x:c>
      <x:c r="M17" s="10" t="str">
        <x:v>Проверить по шаблону тормозного пакета.</x:v>
      </x:c>
      <x:c r="N17" s="10" t="str">
        <x:v>published</x:v>
      </x:c>
      <x:c r="O17" s="10" t="str">
        <x:v>internal_demo</x:v>
      </x:c>
      <x:c r="P17" s="10" t="str">
        <x:v>SRC-INTERNAL-DEMO-20260726</x:v>
      </x:c>
    </x:row>
    <x:row r="18" ht="24" hidden="0" customHeight="1">
      <x:c r="A18" s="9" t="str">
        <x:v>PLAT-EMBER-19-105</x:v>
      </x:c>
      <x:c r="B18" s="9" t="str">
        <x:v>BIZON-WHEEL-MODEL-EMBER</x:v>
      </x:c>
      <x:c r="C18" s="9" t="str">
        <x:v>19×10.5</x:v>
      </x:c>
      <x:c r="D18" s="25" t="n">
        <x:v>19</x:v>
      </x:c>
      <x:c r="E18" s="25" t="n">
        <x:v>10.5</x:v>
      </x:c>
      <x:c r="F18" s="27" t="n">
        <x:v>25</x:v>
      </x:c>
      <x:c r="G18" s="27" t="n">
        <x:v>45</x:v>
      </x:c>
      <x:c r="H18" s="9" t="str">
        <x:v>three_piece</x:v>
      </x:c>
      <x:c r="I18" s="29" t="n">
        <x:v>820</x:v>
      </x:c>
      <x:c r="J18" s="9" t="str">
        <x:v>concave|deep_concave</x:v>
      </x:c>
      <x:c r="K18" s="9" t="str">
        <x:v>none|simulated</x:v>
      </x:c>
      <x:c r="L18" s="9" t="str">
        <x:v>satin_black|graphite|bronze|red|machined_silver|brushed_clear|dark_graphite</x:v>
      </x:c>
      <x:c r="M18" s="9" t="str">
        <x:v>Проверить по шаблону тормозного пакета.</x:v>
      </x:c>
      <x:c r="N18" s="9" t="str">
        <x:v>published</x:v>
      </x:c>
      <x:c r="O18" s="9" t="str">
        <x:v>internal_demo</x:v>
      </x:c>
      <x:c r="P18" s="9" t="str">
        <x:v>SRC-INTERNAL-DEMO-20260726</x:v>
      </x:c>
    </x:row>
    <x:row r="19" ht="24" hidden="0" customHeight="1">
      <x:c r="A19" s="10" t="str">
        <x:v>PLAT-BASTION-17-9</x:v>
      </x:c>
      <x:c r="B19" s="10" t="str">
        <x:v>BIZON-WHEEL-MODEL-BASTION</x:v>
      </x:c>
      <x:c r="C19" s="10" t="str">
        <x:v>17×9</x:v>
      </x:c>
      <x:c r="D19" s="26" t="n">
        <x:v>17</x:v>
      </x:c>
      <x:c r="E19" s="26" t="n">
        <x:v>9</x:v>
      </x:c>
      <x:c r="F19" s="28" t="n">
        <x:v>-22</x:v>
      </x:c>
      <x:c r="G19" s="28" t="n">
        <x:v>-2</x:v>
      </x:c>
      <x:c r="H19" s="10" t="str">
        <x:v>monoblock</x:v>
      </x:c>
      <x:c r="I19" s="30" t="n">
        <x:v>1150</x:v>
      </x:c>
      <x:c r="J19" s="10" t="str">
        <x:v>concave|deep_concave</x:v>
      </x:c>
      <x:c r="K19" s="10" t="str">
        <x:v>none|simulated|functional</x:v>
      </x:c>
      <x:c r="L19" s="10" t="str">
        <x:v>satin_black|graphite|bronze|red|machined_silver|brushed_clear|dark_graphite</x:v>
      </x:c>
      <x:c r="M19" s="10" t="str">
        <x:v>Проверить по шаблону тормозного пакета.</x:v>
      </x:c>
      <x:c r="N19" s="10" t="str">
        <x:v>published</x:v>
      </x:c>
      <x:c r="O19" s="10" t="str">
        <x:v>internal_demo</x:v>
      </x:c>
      <x:c r="P19" s="10" t="str">
        <x:v>SRC-INTERNAL-DEMO-20260726</x:v>
      </x:c>
    </x:row>
    <x:row r="20" ht="24" hidden="0" customHeight="1">
      <x:c r="A20" s="9" t="str">
        <x:v>PLAT-BASTION-18-9</x:v>
      </x:c>
      <x:c r="B20" s="9" t="str">
        <x:v>BIZON-WHEEL-MODEL-BASTION</x:v>
      </x:c>
      <x:c r="C20" s="9" t="str">
        <x:v>18×9</x:v>
      </x:c>
      <x:c r="D20" s="25" t="n">
        <x:v>18</x:v>
      </x:c>
      <x:c r="E20" s="25" t="n">
        <x:v>9</x:v>
      </x:c>
      <x:c r="F20" s="27" t="n">
        <x:v>-10</x:v>
      </x:c>
      <x:c r="G20" s="27" t="n">
        <x:v>10</x:v>
      </x:c>
      <x:c r="H20" s="9" t="str">
        <x:v>monoblock</x:v>
      </x:c>
      <x:c r="I20" s="29" t="n">
        <x:v>1200</x:v>
      </x:c>
      <x:c r="J20" s="9" t="str">
        <x:v>concave|deep_concave</x:v>
      </x:c>
      <x:c r="K20" s="9" t="str">
        <x:v>none|simulated|functional</x:v>
      </x:c>
      <x:c r="L20" s="9" t="str">
        <x:v>satin_black|graphite|bronze|red|machined_silver|brushed_clear|dark_graphite</x:v>
      </x:c>
      <x:c r="M20" s="9" t="str">
        <x:v>Проверить по шаблону тормозного пакета.</x:v>
      </x:c>
      <x:c r="N20" s="9" t="str">
        <x:v>published</x:v>
      </x:c>
      <x:c r="O20" s="9" t="str">
        <x:v>internal_demo</x:v>
      </x:c>
      <x:c r="P20" s="9" t="str">
        <x:v>SRC-INTERNAL-DEMO-20260726</x:v>
      </x:c>
    </x:row>
    <x:row r="21" ht="24" hidden="0" customHeight="1">
      <x:c r="A21" s="10" t="str">
        <x:v>PLAT-BASTION-20-10</x:v>
      </x:c>
      <x:c r="B21" s="10" t="str">
        <x:v>BIZON-WHEEL-MODEL-BASTION</x:v>
      </x:c>
      <x:c r="C21" s="10" t="str">
        <x:v>20×10</x:v>
      </x:c>
      <x:c r="D21" s="26" t="n">
        <x:v>20</x:v>
      </x:c>
      <x:c r="E21" s="26" t="n">
        <x:v>10</x:v>
      </x:c>
      <x:c r="F21" s="28" t="n">
        <x:v>-28</x:v>
      </x:c>
      <x:c r="G21" s="28" t="n">
        <x:v>-8</x:v>
      </x:c>
      <x:c r="H21" s="10" t="str">
        <x:v>three_piece</x:v>
      </x:c>
      <x:c r="I21" s="30" t="n">
        <x:v>1200</x:v>
      </x:c>
      <x:c r="J21" s="10" t="str">
        <x:v>concave|deep_concave</x:v>
      </x:c>
      <x:c r="K21" s="10" t="str">
        <x:v>none|simulated|functional</x:v>
      </x:c>
      <x:c r="L21" s="10" t="str">
        <x:v>satin_black|graphite|bronze|red|machined_silver|brushed_clear|dark_graphite</x:v>
      </x:c>
      <x:c r="M21" s="10" t="str">
        <x:v>Проверить по шаблону тормозного пакета.</x:v>
      </x:c>
      <x:c r="N21" s="10" t="str">
        <x:v>published</x:v>
      </x:c>
      <x:c r="O21" s="10" t="str">
        <x:v>internal_demo</x:v>
      </x:c>
      <x:c r="P21" s="10" t="str">
        <x:v>SRC-INTERNAL-DEMO-20260726</x:v>
      </x:c>
    </x:row>
  </x:sheetData>
  <x:conditionalFormatting sqref="N2:N21">
    <x:cfRule type="containsText" dxfId="36" priority="1" operator="containsText" text="published"/>
    <x:cfRule type="containsText" dxfId="37" priority="2" operator="containsText" text="ok"/>
    <x:cfRule type="containsText" dxfId="38" priority="3" operator="containsText" text="pass"/>
    <x:cfRule type="containsText" dxfId="39" priority="4" operator="containsText" text="compatible"/>
    <x:cfRule type="containsText" dxfId="40" priority="5" operator="containsText" text="review"/>
    <x:cfRule type="containsText" dxfId="41" priority="6" operator="containsText" text="conditional"/>
    <x:cfRule type="containsText" dxfId="42" priority="7" operator="containsText" text="error"/>
    <x:cfRule type="containsText" dxfId="43" priority="8" operator="containsText" text="fail"/>
    <x:cfRule type="containsText" dxfId="44" priority="9" operator="containsText" text="archived"/>
  </x:conditionalFormatting>
  <x:dataValidations count="1">
    <x:dataValidation type="list" sqref="N2:N21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c08f7ff46a45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7" hidden="0" customWidth="1"/>
    <x:col min="14" max="14" width="18" hidden="0" customWidth="1"/>
    <x:col min="15" max="15" width="12" hidden="0" customWidth="1"/>
    <x:col min="16" max="16" width="15" hidden="0" customWidth="1"/>
    <x:col min="17" max="17" width="15" hidden="0" customWidth="1"/>
    <x:col min="18" max="18" width="20" hidden="0" customWidth="1"/>
    <x:col min="19" max="19" width="20" hidden="0" customWidth="1"/>
    <x:col min="20" max="20" width="18" hidden="0" customWidth="1"/>
    <x:col min="21" max="21" width="18" hidden="0" customWidth="1"/>
    <x:col min="22" max="22" width="26" hidden="0" customWidth="1"/>
  </x:cols>
  <x:sheetData>
    <x:row r="1" ht="30" customHeight="1">
      <x:c r="A1" s="8" t="str">
        <x:v>attribute_key</x:v>
      </x:c>
      <x:c r="B1" s="8" t="str">
        <x:v>label_ru</x:v>
      </x:c>
      <x:c r="C1" s="8" t="str">
        <x:v>label_en</x:v>
      </x:c>
      <x:c r="D1" s="8" t="str">
        <x:v>description_ru</x:v>
      </x:c>
      <x:c r="E1" s="8" t="str">
        <x:v>entity_scope</x:v>
      </x:c>
      <x:c r="F1" s="8" t="str">
        <x:v>category_scope</x:v>
      </x:c>
      <x:c r="G1" s="8" t="str">
        <x:v>data_type</x:v>
      </x:c>
      <x:c r="H1" s="8" t="str">
        <x:v>canonical_unit</x:v>
      </x:c>
      <x:c r="I1" s="8" t="str">
        <x:v>dictionary_key</x:v>
      </x:c>
      <x:c r="J1" s="8" t="str">
        <x:v>enabled</x:v>
      </x:c>
      <x:c r="K1" s="8" t="str">
        <x:v>required</x:v>
      </x:c>
      <x:c r="L1" s="8" t="str">
        <x:v>nullable</x:v>
      </x:c>
      <x:c r="M1" s="8" t="str">
        <x:v>visible_in_card</x:v>
      </x:c>
      <x:c r="N1" s="8" t="str">
        <x:v>visible_in_specs</x:v>
      </x:c>
      <x:c r="O1" s="8" t="str">
        <x:v>filterable</x:v>
      </x:c>
      <x:c r="P1" s="8" t="str">
        <x:v>display_group</x:v>
      </x:c>
      <x:c r="Q1" s="18" t="str">
        <x:v>display_order</x:v>
      </x:c>
      <x:c r="R1" s="8" t="str">
        <x:v>payload_collection</x:v>
      </x:c>
      <x:c r="S1" s="8" t="str">
        <x:v>payload_field_path</x:v>
      </x:c>
      <x:c r="T1" s="8" t="str">
        <x:v>lifecycle_status</x:v>
      </x:c>
      <x:c r="U1" s="8" t="str">
        <x:v>source_type</x:v>
      </x:c>
      <x:c r="V1" s="8" t="str">
        <x:v>source_id</x:v>
      </x:c>
    </x:row>
    <x:row r="2" ht="24" hidden="0" customHeight="1">
      <x:c r="A2" s="9" t="str">
        <x:v>beadlock_type</x:v>
      </x:c>
      <x:c r="B2" s="9" t="str">
        <x:v>Тип beadlock</x:v>
      </x:c>
      <x:c r="C2" s="9" t="str">
        <x:v>Beadlock type</x:v>
      </x:c>
      <x:c r="D2" s="9" t="str">
        <x:v>Тип beadlock: подключаемая характеристика каталога кованых дисков.</x:v>
      </x:c>
      <x:c r="E2" s="9" t="str">
        <x:v>variant</x:v>
      </x:c>
      <x:c r="F2" s="9" t="str">
        <x:v>forged_wheels</x:v>
      </x:c>
      <x:c r="G2" s="9" t="str">
        <x:v>dictionary</x:v>
      </x:c>
      <x:c r="H2" s="9"/>
      <x:c r="I2" s="9" t="str">
        <x:v>beadlock_type</x:v>
      </x:c>
      <x:c r="J2" s="16" t="b">
        <x:v>1</x:v>
      </x:c>
      <x:c r="K2" s="16" t="b">
        <x:v>0</x:v>
      </x:c>
      <x:c r="L2" s="16" t="b">
        <x:v>1</x:v>
      </x:c>
      <x:c r="M2" s="16" t="b">
        <x:v>1</x:v>
      </x:c>
      <x:c r="N2" s="16" t="b">
        <x:v>1</x:v>
      </x:c>
      <x:c r="O2" s="16" t="b">
        <x:v>1</x:v>
      </x:c>
      <x:c r="P2" s="9" t="str">
        <x:v>Конструкция</x:v>
      </x:c>
      <x:c r="Q2" s="19" t="n">
        <x:v>10</x:v>
      </x:c>
      <x:c r="R2" s="9" t="str">
        <x:v>wheel-characteristics</x:v>
      </x:c>
      <x:c r="S2" s="9" t="str">
        <x:v>beadlock_type</x:v>
      </x:c>
      <x:c r="T2" s="9" t="str">
        <x:v>published</x:v>
      </x:c>
      <x:c r="U2" s="9" t="str">
        <x:v>internal_demo</x:v>
      </x:c>
      <x:c r="V2" s="9" t="str">
        <x:v>SRC-INTERNAL-DEMO-20260726</x:v>
      </x:c>
    </x:row>
    <x:row r="3" ht="24" hidden="0" customHeight="1">
      <x:c r="A3" s="10" t="str">
        <x:v>face_profile</x:v>
      </x:c>
      <x:c r="B3" s="10" t="str">
        <x:v>Профиль лицевой части</x:v>
      </x:c>
      <x:c r="C3" s="10" t="str">
        <x:v>Face profile</x:v>
      </x:c>
      <x:c r="D3" s="10" t="str">
        <x:v>Профиль лицевой части: подключаемая характеристика каталога кованых дисков.</x:v>
      </x:c>
      <x:c r="E3" s="10" t="str">
        <x:v>variant</x:v>
      </x:c>
      <x:c r="F3" s="10" t="str">
        <x:v>forged_wheels</x:v>
      </x:c>
      <x:c r="G3" s="10" t="str">
        <x:v>dictionary</x:v>
      </x:c>
      <x:c r="H3" s="10"/>
      <x:c r="I3" s="10" t="str">
        <x:v>face_profile</x:v>
      </x:c>
      <x:c r="J3" s="17" t="b">
        <x:v>1</x:v>
      </x:c>
      <x:c r="K3" s="17" t="b">
        <x:v>0</x:v>
      </x:c>
      <x:c r="L3" s="17" t="b">
        <x:v>1</x:v>
      </x:c>
      <x:c r="M3" s="17" t="b">
        <x:v>1</x:v>
      </x:c>
      <x:c r="N3" s="17" t="b">
        <x:v>1</x:v>
      </x:c>
      <x:c r="O3" s="17" t="b">
        <x:v>0</x:v>
      </x:c>
      <x:c r="P3" s="10" t="str">
        <x:v>Конструкция</x:v>
      </x:c>
      <x:c r="Q3" s="20" t="n">
        <x:v>20</x:v>
      </x:c>
      <x:c r="R3" s="10" t="str">
        <x:v>wheel-characteristics</x:v>
      </x:c>
      <x:c r="S3" s="10" t="str">
        <x:v>face_profile</x:v>
      </x:c>
      <x:c r="T3" s="10" t="str">
        <x:v>published</x:v>
      </x:c>
      <x:c r="U3" s="10" t="str">
        <x:v>internal_demo</x:v>
      </x:c>
      <x:c r="V3" s="10" t="str">
        <x:v>SRC-INTERNAL-DEMO-20260726</x:v>
      </x:c>
    </x:row>
    <x:row r="4" ht="24" hidden="0" customHeight="1">
      <x:c r="A4" s="9" t="str">
        <x:v>material_grade</x:v>
      </x:c>
      <x:c r="B4" s="9" t="str">
        <x:v>Материал / сплав</x:v>
      </x:c>
      <x:c r="C4" s="9" t="str">
        <x:v>Material grade</x:v>
      </x:c>
      <x:c r="D4" s="9" t="str">
        <x:v>Материал / сплав: подключаемая характеристика каталога кованых дисков.</x:v>
      </x:c>
      <x:c r="E4" s="9" t="str">
        <x:v>model</x:v>
      </x:c>
      <x:c r="F4" s="9" t="str">
        <x:v>forged_wheels</x:v>
      </x:c>
      <x:c r="G4" s="9" t="str">
        <x:v>string</x:v>
      </x:c>
      <x:c r="H4" s="9"/>
      <x:c r="I4" s="9"/>
      <x:c r="J4" s="16" t="b">
        <x:v>1</x:v>
      </x:c>
      <x:c r="K4" s="16" t="b">
        <x:v>0</x:v>
      </x:c>
      <x:c r="L4" s="16" t="b">
        <x:v>1</x:v>
      </x:c>
      <x:c r="M4" s="16" t="b">
        <x:v>0</x:v>
      </x:c>
      <x:c r="N4" s="16" t="b">
        <x:v>1</x:v>
      </x:c>
      <x:c r="O4" s="16" t="b">
        <x:v>0</x:v>
      </x:c>
      <x:c r="P4" s="9" t="str">
        <x:v>Материал</x:v>
      </x:c>
      <x:c r="Q4" s="19" t="n">
        <x:v>30</x:v>
      </x:c>
      <x:c r="R4" s="9" t="str">
        <x:v>wheel-characteristics</x:v>
      </x:c>
      <x:c r="S4" s="9" t="str">
        <x:v>material_grade</x:v>
      </x:c>
      <x:c r="T4" s="9" t="str">
        <x:v>published</x:v>
      </x:c>
      <x:c r="U4" s="9" t="str">
        <x:v>internal_demo</x:v>
      </x:c>
      <x:c r="V4" s="9" t="str">
        <x:v>SRC-INTERNAL-DEMO-20260726</x:v>
      </x:c>
    </x:row>
    <x:row r="5" ht="24" hidden="0" customHeight="1">
      <x:c r="A5" s="10" t="str">
        <x:v>weight_kg</x:v>
      </x:c>
      <x:c r="B5" s="10" t="str">
        <x:v>Масса одного диска</x:v>
      </x:c>
      <x:c r="C5" s="10" t="str">
        <x:v>Wheel weight</x:v>
      </x:c>
      <x:c r="D5" s="10" t="str">
        <x:v>Масса одного диска: подключаемая характеристика каталога кованых дисков.</x:v>
      </x:c>
      <x:c r="E5" s="10" t="str">
        <x:v>variant</x:v>
      </x:c>
      <x:c r="F5" s="10" t="str">
        <x:v>forged_wheels</x:v>
      </x:c>
      <x:c r="G5" s="10" t="str">
        <x:v>number</x:v>
      </x:c>
      <x:c r="H5" s="10" t="str">
        <x:v>kg</x:v>
      </x:c>
      <x:c r="I5" s="10"/>
      <x:c r="J5" s="17" t="b">
        <x:v>1</x:v>
      </x:c>
      <x:c r="K5" s="17" t="b">
        <x:v>0</x:v>
      </x:c>
      <x:c r="L5" s="17" t="b">
        <x:v>1</x:v>
      </x:c>
      <x:c r="M5" s="17" t="b">
        <x:v>0</x:v>
      </x:c>
      <x:c r="N5" s="17" t="b">
        <x:v>1</x:v>
      </x:c>
      <x:c r="O5" s="17" t="b">
        <x:v>0</x:v>
      </x:c>
      <x:c r="P5" s="10" t="str">
        <x:v>Технические</x:v>
      </x:c>
      <x:c r="Q5" s="20" t="n">
        <x:v>40</x:v>
      </x:c>
      <x:c r="R5" s="10" t="str">
        <x:v>wheel-characteristics</x:v>
      </x:c>
      <x:c r="S5" s="10" t="str">
        <x:v>weight_kg</x:v>
      </x:c>
      <x:c r="T5" s="10" t="str">
        <x:v>published</x:v>
      </x:c>
      <x:c r="U5" s="10" t="str">
        <x:v>internal_demo</x:v>
      </x:c>
      <x:c r="V5" s="10" t="str">
        <x:v>SRC-INTERNAL-DEMO-20260726</x:v>
      </x:c>
    </x:row>
    <x:row r="6" ht="24" hidden="0" customHeight="1">
      <x:c r="A6" s="9" t="str">
        <x:v>finish_type</x:v>
      </x:c>
      <x:c r="B6" s="9" t="str">
        <x:v>Тип покрытия</x:v>
      </x:c>
      <x:c r="C6" s="9" t="str">
        <x:v>Finish type</x:v>
      </x:c>
      <x:c r="D6" s="9" t="str">
        <x:v>Тип покрытия: подключаемая характеристика каталога кованых дисков.</x:v>
      </x:c>
      <x:c r="E6" s="9" t="str">
        <x:v>variant</x:v>
      </x:c>
      <x:c r="F6" s="9" t="str">
        <x:v>forged_wheels</x:v>
      </x:c>
      <x:c r="G6" s="9" t="str">
        <x:v>dictionary</x:v>
      </x:c>
      <x:c r="H6" s="9"/>
      <x:c r="I6" s="9" t="str">
        <x:v>finish_type</x:v>
      </x:c>
      <x:c r="J6" s="16" t="b">
        <x:v>1</x:v>
      </x:c>
      <x:c r="K6" s="16" t="b">
        <x:v>0</x:v>
      </x:c>
      <x:c r="L6" s="16" t="b">
        <x:v>1</x:v>
      </x:c>
      <x:c r="M6" s="16" t="b">
        <x:v>1</x:v>
      </x:c>
      <x:c r="N6" s="16" t="b">
        <x:v>1</x:v>
      </x:c>
      <x:c r="O6" s="16" t="b">
        <x:v>0</x:v>
      </x:c>
      <x:c r="P6" s="9" t="str">
        <x:v>Отделка</x:v>
      </x:c>
      <x:c r="Q6" s="19" t="n">
        <x:v>50</x:v>
      </x:c>
      <x:c r="R6" s="9" t="str">
        <x:v>wheel-characteristics</x:v>
      </x:c>
      <x:c r="S6" s="9" t="str">
        <x:v>finish_type</x:v>
      </x:c>
      <x:c r="T6" s="9" t="str">
        <x:v>published</x:v>
      </x:c>
      <x:c r="U6" s="9" t="str">
        <x:v>internal_demo</x:v>
      </x:c>
      <x:c r="V6" s="9" t="str">
        <x:v>SRC-INTERNAL-DEMO-20260726</x:v>
      </x:c>
    </x:row>
    <x:row r="7" ht="24" hidden="0" customHeight="1">
      <x:c r="A7" s="10" t="str">
        <x:v>color_key</x:v>
      </x:c>
      <x:c r="B7" s="10" t="str">
        <x:v>Цвет</x:v>
      </x:c>
      <x:c r="C7" s="10" t="str">
        <x:v>Color</x:v>
      </x:c>
      <x:c r="D7" s="10" t="str">
        <x:v>Цвет: подключаемая характеристика каталога кованых дисков.</x:v>
      </x:c>
      <x:c r="E7" s="10" t="str">
        <x:v>variant</x:v>
      </x:c>
      <x:c r="F7" s="10" t="str">
        <x:v>forged_wheels</x:v>
      </x:c>
      <x:c r="G7" s="10" t="str">
        <x:v>dictionary</x:v>
      </x:c>
      <x:c r="H7" s="10"/>
      <x:c r="I7" s="10" t="str">
        <x:v>color</x:v>
      </x:c>
      <x:c r="J7" s="17" t="b">
        <x:v>1</x:v>
      </x:c>
      <x:c r="K7" s="17" t="b">
        <x:v>0</x:v>
      </x:c>
      <x:c r="L7" s="17" t="b">
        <x:v>1</x:v>
      </x:c>
      <x:c r="M7" s="17" t="b">
        <x:v>1</x:v>
      </x:c>
      <x:c r="N7" s="17" t="b">
        <x:v>1</x:v>
      </x:c>
      <x:c r="O7" s="17" t="b">
        <x:v>0</x:v>
      </x:c>
      <x:c r="P7" s="10" t="str">
        <x:v>Отделка</x:v>
      </x:c>
      <x:c r="Q7" s="20" t="n">
        <x:v>60</x:v>
      </x:c>
      <x:c r="R7" s="10" t="str">
        <x:v>wheel-characteristics</x:v>
      </x:c>
      <x:c r="S7" s="10" t="str">
        <x:v>color_key</x:v>
      </x:c>
      <x:c r="T7" s="10" t="str">
        <x:v>published</x:v>
      </x:c>
      <x:c r="U7" s="10" t="str">
        <x:v>internal_demo</x:v>
      </x:c>
      <x:c r="V7" s="10" t="str">
        <x:v>SRC-INTERNAL-DEMO-20260726</x:v>
      </x:c>
    </x:row>
    <x:row r="8" ht="24" hidden="0" customHeight="1">
      <x:c r="A8" s="9" t="str">
        <x:v>spoke_count</x:v>
      </x:c>
      <x:c r="B8" s="9" t="str">
        <x:v>Количество спиц</x:v>
      </x:c>
      <x:c r="C8" s="9" t="str">
        <x:v>Spoke count</x:v>
      </x:c>
      <x:c r="D8" s="9" t="str">
        <x:v>Количество спиц: подключаемая характеристика каталога кованых дисков.</x:v>
      </x:c>
      <x:c r="E8" s="9" t="str">
        <x:v>model</x:v>
      </x:c>
      <x:c r="F8" s="9" t="str">
        <x:v>forged_wheels</x:v>
      </x:c>
      <x:c r="G8" s="9" t="str">
        <x:v>number</x:v>
      </x:c>
      <x:c r="H8" s="9"/>
      <x:c r="I8" s="9"/>
      <x:c r="J8" s="16" t="b">
        <x:v>1</x:v>
      </x:c>
      <x:c r="K8" s="16" t="b">
        <x:v>0</x:v>
      </x:c>
      <x:c r="L8" s="16" t="b">
        <x:v>1</x:v>
      </x:c>
      <x:c r="M8" s="16" t="b">
        <x:v>0</x:v>
      </x:c>
      <x:c r="N8" s="16" t="b">
        <x:v>1</x:v>
      </x:c>
      <x:c r="O8" s="16" t="b">
        <x:v>0</x:v>
      </x:c>
      <x:c r="P8" s="9" t="str">
        <x:v>Дизайн</x:v>
      </x:c>
      <x:c r="Q8" s="19" t="n">
        <x:v>70</x:v>
      </x:c>
      <x:c r="R8" s="9" t="str">
        <x:v>wheel-characteristics</x:v>
      </x:c>
      <x:c r="S8" s="9" t="str">
        <x:v>spoke_count</x:v>
      </x:c>
      <x:c r="T8" s="9" t="str">
        <x:v>published</x:v>
      </x:c>
      <x:c r="U8" s="9" t="str">
        <x:v>internal_demo</x:v>
      </x:c>
      <x:c r="V8" s="9" t="str">
        <x:v>SRC-INTERNAL-DEMO-20260726</x:v>
      </x:c>
    </x:row>
    <x:row r="9" ht="24" hidden="0" customHeight="1">
      <x:c r="A9" s="10" t="str">
        <x:v>lip_style</x:v>
      </x:c>
      <x:c r="B9" s="10" t="str">
        <x:v>Тип полки</x:v>
      </x:c>
      <x:c r="C9" s="10" t="str">
        <x:v>Lip style</x:v>
      </x:c>
      <x:c r="D9" s="10" t="str">
        <x:v>Тип полки: подключаемая характеристика каталога кованых дисков.</x:v>
      </x:c>
      <x:c r="E9" s="10" t="str">
        <x:v>model</x:v>
      </x:c>
      <x:c r="F9" s="10" t="str">
        <x:v>forged_wheels</x:v>
      </x:c>
      <x:c r="G9" s="10" t="str">
        <x:v>dictionary</x:v>
      </x:c>
      <x:c r="H9" s="10"/>
      <x:c r="I9" s="10" t="str">
        <x:v>lip_style</x:v>
      </x:c>
      <x:c r="J9" s="17" t="b">
        <x:v>1</x:v>
      </x:c>
      <x:c r="K9" s="17" t="b">
        <x:v>0</x:v>
      </x:c>
      <x:c r="L9" s="17" t="b">
        <x:v>1</x:v>
      </x:c>
      <x:c r="M9" s="17" t="b">
        <x:v>0</x:v>
      </x:c>
      <x:c r="N9" s="17" t="b">
        <x:v>1</x:v>
      </x:c>
      <x:c r="O9" s="17" t="b">
        <x:v>0</x:v>
      </x:c>
      <x:c r="P9" s="10" t="str">
        <x:v>Дизайн</x:v>
      </x:c>
      <x:c r="Q9" s="20" t="n">
        <x:v>80</x:v>
      </x:c>
      <x:c r="R9" s="10" t="str">
        <x:v>wheel-characteristics</x:v>
      </x:c>
      <x:c r="S9" s="10" t="str">
        <x:v>lip_style</x:v>
      </x:c>
      <x:c r="T9" s="10" t="str">
        <x:v>published</x:v>
      </x:c>
      <x:c r="U9" s="10" t="str">
        <x:v>internal_demo</x:v>
      </x:c>
      <x:c r="V9" s="10" t="str">
        <x:v>SRC-INTERNAL-DEMO-20260726</x:v>
      </x:c>
    </x:row>
    <x:row r="10" ht="24" hidden="0" customHeight="1">
      <x:c r="A10" s="9" t="str">
        <x:v>certification</x:v>
      </x:c>
      <x:c r="B10" s="9" t="str">
        <x:v>Сертификация</x:v>
      </x:c>
      <x:c r="C10" s="9" t="str">
        <x:v>Certification</x:v>
      </x:c>
      <x:c r="D10" s="9" t="str">
        <x:v>Сертификация: подключаемая характеристика каталога кованых дисков.</x:v>
      </x:c>
      <x:c r="E10" s="9" t="str">
        <x:v>model</x:v>
      </x:c>
      <x:c r="F10" s="9" t="str">
        <x:v>forged_wheels</x:v>
      </x:c>
      <x:c r="G10" s="9" t="str">
        <x:v>string</x:v>
      </x:c>
      <x:c r="H10" s="9"/>
      <x:c r="I10" s="9"/>
      <x:c r="J10" s="16" t="b">
        <x:v>1</x:v>
      </x:c>
      <x:c r="K10" s="16" t="b">
        <x:v>1</x:v>
      </x:c>
      <x:c r="L10" s="16" t="b">
        <x:v>0</x:v>
      </x:c>
      <x:c r="M10" s="16" t="b">
        <x:v>0</x:v>
      </x:c>
      <x:c r="N10" s="16" t="b">
        <x:v>1</x:v>
      </x:c>
      <x:c r="O10" s="16" t="b">
        <x:v>0</x:v>
      </x:c>
      <x:c r="P10" s="9" t="str">
        <x:v>Документы</x:v>
      </x:c>
      <x:c r="Q10" s="19" t="n">
        <x:v>90</x:v>
      </x:c>
      <x:c r="R10" s="9" t="str">
        <x:v>wheel-characteristics</x:v>
      </x:c>
      <x:c r="S10" s="9" t="str">
        <x:v>certification</x:v>
      </x:c>
      <x:c r="T10" s="9" t="str">
        <x:v>published</x:v>
      </x:c>
      <x:c r="U10" s="9" t="str">
        <x:v>internal_demo</x:v>
      </x:c>
      <x:c r="V10" s="9" t="str">
        <x:v>SRC-INTERNAL-DEMO-20260726</x:v>
      </x:c>
    </x:row>
    <x:row r="11" ht="24" hidden="0" customHeight="1">
      <x:c r="A11" s="10" t="str">
        <x:v>recommended_use</x:v>
      </x:c>
      <x:c r="B11" s="10" t="str">
        <x:v>Рекомендуемое назначение</x:v>
      </x:c>
      <x:c r="C11" s="10" t="str">
        <x:v>Recommended use</x:v>
      </x:c>
      <x:c r="D11" s="10" t="str">
        <x:v>Рекомендуемое назначение: подключаемая характеристика каталога кованых дисков.</x:v>
      </x:c>
      <x:c r="E11" s="10" t="str">
        <x:v>model</x:v>
      </x:c>
      <x:c r="F11" s="10" t="str">
        <x:v>forged_wheels</x:v>
      </x:c>
      <x:c r="G11" s="10" t="str">
        <x:v>dictionary</x:v>
      </x:c>
      <x:c r="H11" s="10"/>
      <x:c r="I11" s="10" t="str">
        <x:v>recommended_use</x:v>
      </x:c>
      <x:c r="J11" s="17" t="b">
        <x:v>1</x:v>
      </x:c>
      <x:c r="K11" s="17" t="b">
        <x:v>0</x:v>
      </x:c>
      <x:c r="L11" s="17" t="b">
        <x:v>1</x:v>
      </x:c>
      <x:c r="M11" s="17" t="b">
        <x:v>0</x:v>
      </x:c>
      <x:c r="N11" s="17" t="b">
        <x:v>1</x:v>
      </x:c>
      <x:c r="O11" s="17" t="b">
        <x:v>0</x:v>
      </x:c>
      <x:c r="P11" s="10" t="str">
        <x:v>Назначение</x:v>
      </x:c>
      <x:c r="Q11" s="20" t="n">
        <x:v>100</x:v>
      </x:c>
      <x:c r="R11" s="10" t="str">
        <x:v>wheel-characteristics</x:v>
      </x:c>
      <x:c r="S11" s="10" t="str">
        <x:v>recommended_use</x:v>
      </x:c>
      <x:c r="T11" s="10" t="str">
        <x:v>published</x:v>
      </x:c>
      <x:c r="U11" s="10" t="str">
        <x:v>internal_demo</x:v>
      </x:c>
      <x:c r="V11" s="10" t="str">
        <x:v>SRC-INTERNAL-DEMO-20260726</x:v>
      </x:c>
    </x:row>
    <x:row r="12" ht="36" hidden="0" customHeight="1">
      <x:c r="A12" s="9" t="str">
        <x:v>customizable</x:v>
      </x:c>
      <x:c r="B12" s="9" t="str">
        <x:v>Индивидуальное изготовление</x:v>
      </x:c>
      <x:c r="C12" s="9" t="str">
        <x:v>Customizable</x:v>
      </x:c>
      <x:c r="D12" s="9" t="str">
        <x:v>Индивидуальное изготовление: подключаемая характеристика каталога кованых дисков.</x:v>
      </x:c>
      <x:c r="E12" s="9" t="str">
        <x:v>model</x:v>
      </x:c>
      <x:c r="F12" s="9" t="str">
        <x:v>forged_wheels</x:v>
      </x:c>
      <x:c r="G12" s="9" t="str">
        <x:v>boolean</x:v>
      </x:c>
      <x:c r="H12" s="9"/>
      <x:c r="I12" s="9"/>
      <x:c r="J12" s="16" t="b">
        <x:v>1</x:v>
      </x:c>
      <x:c r="K12" s="16" t="b">
        <x:v>0</x:v>
      </x:c>
      <x:c r="L12" s="16" t="b">
        <x:v>1</x:v>
      </x:c>
      <x:c r="M12" s="16" t="b">
        <x:v>0</x:v>
      </x:c>
      <x:c r="N12" s="16" t="b">
        <x:v>1</x:v>
      </x:c>
      <x:c r="O12" s="16" t="b">
        <x:v>0</x:v>
      </x:c>
      <x:c r="P12" s="9" t="str">
        <x:v>Коммерческие</x:v>
      </x:c>
      <x:c r="Q12" s="19" t="n">
        <x:v>110</x:v>
      </x:c>
      <x:c r="R12" s="9" t="str">
        <x:v>wheel-characteristics</x:v>
      </x:c>
      <x:c r="S12" s="9" t="str">
        <x:v>customizable</x:v>
      </x:c>
      <x:c r="T12" s="9" t="str">
        <x:v>published</x:v>
      </x:c>
      <x:c r="U12" s="9" t="str">
        <x:v>internal_demo</x:v>
      </x:c>
      <x:c r="V12" s="9" t="str">
        <x:v>SRC-INTERNAL-DEMO-20260726</x:v>
      </x:c>
    </x:row>
    <x:row r="13" ht="24" hidden="0" customHeight="1">
      <x:c r="A13" s="10" t="str">
        <x:v>warranty_months</x:v>
      </x:c>
      <x:c r="B13" s="10" t="str">
        <x:v>Гарантия</x:v>
      </x:c>
      <x:c r="C13" s="10" t="str">
        <x:v>Warranty</x:v>
      </x:c>
      <x:c r="D13" s="10" t="str">
        <x:v>Гарантия: подключаемая характеристика каталога кованых дисков.</x:v>
      </x:c>
      <x:c r="E13" s="10" t="str">
        <x:v>model</x:v>
      </x:c>
      <x:c r="F13" s="10" t="str">
        <x:v>forged_wheels</x:v>
      </x:c>
      <x:c r="G13" s="10" t="str">
        <x:v>number</x:v>
      </x:c>
      <x:c r="H13" s="10" t="str">
        <x:v>month</x:v>
      </x:c>
      <x:c r="I13" s="10"/>
      <x:c r="J13" s="17" t="b">
        <x:v>1</x:v>
      </x:c>
      <x:c r="K13" s="17" t="b">
        <x:v>0</x:v>
      </x:c>
      <x:c r="L13" s="17" t="b">
        <x:v>1</x:v>
      </x:c>
      <x:c r="M13" s="17" t="b">
        <x:v>0</x:v>
      </x:c>
      <x:c r="N13" s="17" t="b">
        <x:v>1</x:v>
      </x:c>
      <x:c r="O13" s="17" t="b">
        <x:v>0</x:v>
      </x:c>
      <x:c r="P13" s="10" t="str">
        <x:v>Коммерческие</x:v>
      </x:c>
      <x:c r="Q13" s="20" t="n">
        <x:v>120</x:v>
      </x:c>
      <x:c r="R13" s="10" t="str">
        <x:v>wheel-characteristics</x:v>
      </x:c>
      <x:c r="S13" s="10" t="str">
        <x:v>warranty_months</x:v>
      </x:c>
      <x:c r="T13" s="10" t="str">
        <x:v>published</x:v>
      </x:c>
      <x:c r="U13" s="10" t="str">
        <x:v>internal_demo</x:v>
      </x:c>
      <x:c r="V13" s="10" t="str">
        <x:v>SRC-INTERNAL-DEMO-20260726</x:v>
      </x:c>
    </x:row>
  </x:sheetData>
  <x:conditionalFormatting sqref="T2:T13">
    <x:cfRule type="containsText" dxfId="45" priority="1" operator="containsText" text="published"/>
    <x:cfRule type="containsText" dxfId="46" priority="2" operator="containsText" text="ok"/>
    <x:cfRule type="containsText" dxfId="47" priority="3" operator="containsText" text="pass"/>
    <x:cfRule type="containsText" dxfId="48" priority="4" operator="containsText" text="compatible"/>
    <x:cfRule type="containsText" dxfId="49" priority="5" operator="containsText" text="review"/>
    <x:cfRule type="containsText" dxfId="50" priority="6" operator="containsText" text="conditional"/>
    <x:cfRule type="containsText" dxfId="51" priority="7" operator="containsText" text="error"/>
    <x:cfRule type="containsText" dxfId="52" priority="8" operator="containsText" text="fail"/>
    <x:cfRule type="containsText" dxfId="53" priority="9" operator="containsText" text="archived"/>
  </x:conditionalFormatting>
  <x:dataValidations count="3">
    <x:dataValidation type="list" sqref="T2:T13">
      <x:formula1>"draft,review,published,archived"</x:formula1>
    </x:dataValidation>
    <x:dataValidation type="list" sqref="E2:E13">
      <x:formula1>"model,variant,platform"</x:formula1>
    </x:dataValidation>
    <x:dataValidation type="list" sqref="G2:G13">
      <x:formula1>"string,number,boolean,dictionary"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b6f30d640e84f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15" hidden="0" customWidth="1"/>
    <x:col min="5" max="5" width="12" hidden="0" customWidth="1"/>
    <x:col min="6" max="6" width="14" hidden="0" customWidth="1"/>
    <x:col min="7" max="7" width="15" hidden="0" customWidth="1"/>
    <x:col min="8" max="8" width="20" hidden="0" customWidth="1"/>
    <x:col min="9" max="9" width="12" hidden="0" customWidth="1"/>
    <x:col min="10" max="10" width="18" hidden="0" customWidth="1"/>
    <x:col min="11" max="11" width="18" hidden="0" customWidth="1"/>
    <x:col min="12" max="12" width="26" hidden="0" customWidth="1"/>
  </x:cols>
  <x:sheetData>
    <x:row r="1" ht="30" customHeight="1">
      <x:c r="A1" s="8" t="str">
        <x:v>value_id</x:v>
      </x:c>
      <x:c r="B1" s="8" t="str">
        <x:v>entity_scope</x:v>
      </x:c>
      <x:c r="C1" s="8" t="str">
        <x:v>entity_id</x:v>
      </x:c>
      <x:c r="D1" s="8" t="str">
        <x:v>attribute_key</x:v>
      </x:c>
      <x:c r="E1" s="8" t="str">
        <x:v>value_text</x:v>
      </x:c>
      <x:c r="F1" s="8" t="str">
        <x:v>value_number</x:v>
      </x:c>
      <x:c r="G1" s="8" t="str">
        <x:v>value_boolean</x:v>
      </x:c>
      <x:c r="H1" s="8" t="str">
        <x:v>value_dictionary_key</x:v>
      </x:c>
      <x:c r="I1" s="8" t="str">
        <x:v>value_unit</x:v>
      </x:c>
      <x:c r="J1" s="8" t="str">
        <x:v>lifecycle_status</x:v>
      </x:c>
      <x:c r="K1" s="8" t="str">
        <x:v>source_type</x:v>
      </x:c>
      <x:c r="L1" s="8" t="str">
        <x:v>source_id</x:v>
      </x:c>
    </x:row>
    <x:row r="2" ht="24" hidden="0" customHeight="1">
      <x:c r="A2" s="9" t="str">
        <x:v>ATTRVAL-VAR-ATLAS-1785-ET0-6X1397-BEADLOCK-TYPE</x:v>
      </x:c>
      <x:c r="B2" s="9" t="str">
        <x:v>variant</x:v>
      </x:c>
      <x:c r="C2" s="9" t="str">
        <x:v>BIZON-WHEEL-VAR-ATLAS-1785-ET0-6X1397</x:v>
      </x:c>
      <x:c r="D2" s="9" t="str">
        <x:v>beadlock_type</x:v>
      </x:c>
      <x:c r="E2" s="9"/>
      <x:c r="F2" s="31"/>
      <x:c r="G2" s="9"/>
      <x:c r="H2" s="9" t="str">
        <x:v>simulated</x:v>
      </x:c>
      <x:c r="I2" s="9"/>
      <x:c r="J2" s="9" t="str">
        <x:v>published</x:v>
      </x:c>
      <x:c r="K2" s="9" t="str">
        <x:v>internal_demo</x:v>
      </x:c>
      <x:c r="L2" s="9" t="str">
        <x:v>SRC-INTERNAL-DEMO-20260726</x:v>
      </x:c>
    </x:row>
    <x:row r="3" ht="24" hidden="0" customHeight="1">
      <x:c r="A3" s="10" t="str">
        <x:v>ATTRVAL-VAR-ATLAS-1785-ET0-6X1397-FACE-PROFILE</x:v>
      </x:c>
      <x:c r="B3" s="10" t="str">
        <x:v>variant</x:v>
      </x:c>
      <x:c r="C3" s="10" t="str">
        <x:v>BIZON-WHEEL-VAR-ATLAS-1785-ET0-6X1397</x:v>
      </x:c>
      <x:c r="D3" s="10" t="str">
        <x:v>face_profile</x:v>
      </x:c>
      <x:c r="E3" s="10"/>
      <x:c r="F3" s="32"/>
      <x:c r="G3" s="10"/>
      <x:c r="H3" s="10" t="str">
        <x:v>concave</x:v>
      </x:c>
      <x:c r="I3" s="10"/>
      <x:c r="J3" s="10" t="str">
        <x:v>published</x:v>
      </x:c>
      <x:c r="K3" s="10" t="str">
        <x:v>internal_demo</x:v>
      </x:c>
      <x:c r="L3" s="10" t="str">
        <x:v>SRC-INTERNAL-DEMO-20260726</x:v>
      </x:c>
    </x:row>
    <x:row r="4" ht="24" hidden="0" customHeight="1">
      <x:c r="A4" s="9" t="str">
        <x:v>ATTRVAL-VAR-ATLAS-1785-ET0-6X1397-WEIGHT-KG</x:v>
      </x:c>
      <x:c r="B4" s="9" t="str">
        <x:v>variant</x:v>
      </x:c>
      <x:c r="C4" s="9" t="str">
        <x:v>BIZON-WHEEL-VAR-ATLAS-1785-ET0-6X1397</x:v>
      </x:c>
      <x:c r="D4" s="9" t="str">
        <x:v>weight_kg</x:v>
      </x:c>
      <x:c r="E4" s="9"/>
      <x:c r="F4" s="31" t="n">
        <x:v>11.2</x:v>
      </x:c>
      <x:c r="G4" s="9"/>
      <x:c r="H4" s="9"/>
      <x:c r="I4" s="9" t="str">
        <x:v>kg</x:v>
      </x:c>
      <x:c r="J4" s="9" t="str">
        <x:v>published</x:v>
      </x:c>
      <x:c r="K4" s="9" t="str">
        <x:v>internal_demo</x:v>
      </x:c>
      <x:c r="L4" s="9" t="str">
        <x:v>SRC-INTERNAL-DEMO-20260726</x:v>
      </x:c>
    </x:row>
    <x:row r="5" ht="24" hidden="0" customHeight="1">
      <x:c r="A5" s="10" t="str">
        <x:v>ATTRVAL-VAR-ATLAS-1785-ET0-6X1397-FINISH-TYPE</x:v>
      </x:c>
      <x:c r="B5" s="10" t="str">
        <x:v>variant</x:v>
      </x:c>
      <x:c r="C5" s="10" t="str">
        <x:v>BIZON-WHEEL-VAR-ATLAS-1785-ET0-6X1397</x:v>
      </x:c>
      <x:c r="D5" s="10" t="str">
        <x:v>finish_type</x:v>
      </x:c>
      <x:c r="E5" s="10"/>
      <x:c r="F5" s="32"/>
      <x:c r="G5" s="10"/>
      <x:c r="H5" s="10" t="str">
        <x:v>satin_black</x:v>
      </x:c>
      <x:c r="I5" s="10"/>
      <x:c r="J5" s="10" t="str">
        <x:v>published</x:v>
      </x:c>
      <x:c r="K5" s="10" t="str">
        <x:v>internal_demo</x:v>
      </x:c>
      <x:c r="L5" s="10" t="str">
        <x:v>SRC-INTERNAL-DEMO-20260726</x:v>
      </x:c>
    </x:row>
    <x:row r="6" ht="24" hidden="0" customHeight="1">
      <x:c r="A6" s="9" t="str">
        <x:v>ATTRVAL-VAR-ATLAS-1785-ET0-6X1397-COLOR-KEY</x:v>
      </x:c>
      <x:c r="B6" s="9" t="str">
        <x:v>variant</x:v>
      </x:c>
      <x:c r="C6" s="9" t="str">
        <x:v>BIZON-WHEEL-VAR-ATLAS-1785-ET0-6X1397</x:v>
      </x:c>
      <x:c r="D6" s="9" t="str">
        <x:v>color_key</x:v>
      </x:c>
      <x:c r="E6" s="9"/>
      <x:c r="F6" s="31"/>
      <x:c r="G6" s="9"/>
      <x:c r="H6" s="9" t="str">
        <x:v>black</x:v>
      </x:c>
      <x:c r="I6" s="9"/>
      <x:c r="J6" s="9" t="str">
        <x:v>published</x:v>
      </x:c>
      <x:c r="K6" s="9" t="str">
        <x:v>internal_demo</x:v>
      </x:c>
      <x:c r="L6" s="9" t="str">
        <x:v>SRC-INTERNAL-DEMO-20260726</x:v>
      </x:c>
    </x:row>
    <x:row r="7" ht="24" hidden="0" customHeight="1">
      <x:c r="A7" s="10" t="str">
        <x:v>ATTRVAL-VAR-ATLAS-189-ETM12-6X1397-BEADLOCK-TYPE</x:v>
      </x:c>
      <x:c r="B7" s="10" t="str">
        <x:v>variant</x:v>
      </x:c>
      <x:c r="C7" s="10" t="str">
        <x:v>BIZON-WHEEL-VAR-ATLAS-189-ETM12-6X1397</x:v>
      </x:c>
      <x:c r="D7" s="10" t="str">
        <x:v>beadlock_type</x:v>
      </x:c>
      <x:c r="E7" s="10"/>
      <x:c r="F7" s="32"/>
      <x:c r="G7" s="10"/>
      <x:c r="H7" s="10" t="str">
        <x:v>none</x:v>
      </x:c>
      <x:c r="I7" s="10"/>
      <x:c r="J7" s="10" t="str">
        <x:v>published</x:v>
      </x:c>
      <x:c r="K7" s="10" t="str">
        <x:v>internal_demo</x:v>
      </x:c>
      <x:c r="L7" s="10" t="str">
        <x:v>SRC-INTERNAL-DEMO-20260726</x:v>
      </x:c>
    </x:row>
    <x:row r="8" ht="24" hidden="0" customHeight="1">
      <x:c r="A8" s="9" t="str">
        <x:v>ATTRVAL-VAR-ATLAS-189-ETM12-6X1397-FACE-PROFILE</x:v>
      </x:c>
      <x:c r="B8" s="9" t="str">
        <x:v>variant</x:v>
      </x:c>
      <x:c r="C8" s="9" t="str">
        <x:v>BIZON-WHEEL-VAR-ATLAS-189-ETM12-6X1397</x:v>
      </x:c>
      <x:c r="D8" s="9" t="str">
        <x:v>face_profile</x:v>
      </x:c>
      <x:c r="E8" s="9"/>
      <x:c r="F8" s="31"/>
      <x:c r="G8" s="9"/>
      <x:c r="H8" s="9" t="str">
        <x:v>deep_concave</x:v>
      </x:c>
      <x:c r="I8" s="9"/>
      <x:c r="J8" s="9" t="str">
        <x:v>published</x:v>
      </x:c>
      <x:c r="K8" s="9" t="str">
        <x:v>internal_demo</x:v>
      </x:c>
      <x:c r="L8" s="9" t="str">
        <x:v>SRC-INTERNAL-DEMO-20260726</x:v>
      </x:c>
    </x:row>
    <x:row r="9" ht="24" hidden="0" customHeight="1">
      <x:c r="A9" s="10" t="str">
        <x:v>ATTRVAL-VAR-ATLAS-189-ETM12-6X1397-WEIGHT-KG</x:v>
      </x:c>
      <x:c r="B9" s="10" t="str">
        <x:v>variant</x:v>
      </x:c>
      <x:c r="C9" s="10" t="str">
        <x:v>BIZON-WHEEL-VAR-ATLAS-189-ETM12-6X1397</x:v>
      </x:c>
      <x:c r="D9" s="10" t="str">
        <x:v>weight_kg</x:v>
      </x:c>
      <x:c r="E9" s="10"/>
      <x:c r="F9" s="32" t="n">
        <x:v>12.1</x:v>
      </x:c>
      <x:c r="G9" s="10"/>
      <x:c r="H9" s="10"/>
      <x:c r="I9" s="10" t="str">
        <x:v>kg</x:v>
      </x:c>
      <x:c r="J9" s="10" t="str">
        <x:v>published</x:v>
      </x:c>
      <x:c r="K9" s="10" t="str">
        <x:v>internal_demo</x:v>
      </x:c>
      <x:c r="L9" s="10" t="str">
        <x:v>SRC-INTERNAL-DEMO-20260726</x:v>
      </x:c>
    </x:row>
    <x:row r="10" ht="24" hidden="0" customHeight="1">
      <x:c r="A10" s="9" t="str">
        <x:v>ATTRVAL-VAR-ATLAS-189-ETM12-6X1397-FINISH-TYPE</x:v>
      </x:c>
      <x:c r="B10" s="9" t="str">
        <x:v>variant</x:v>
      </x:c>
      <x:c r="C10" s="9" t="str">
        <x:v>BIZON-WHEEL-VAR-ATLAS-189-ETM12-6X1397</x:v>
      </x:c>
      <x:c r="D10" s="9" t="str">
        <x:v>finish_type</x:v>
      </x:c>
      <x:c r="E10" s="9"/>
      <x:c r="F10" s="31"/>
      <x:c r="G10" s="9"/>
      <x:c r="H10" s="9" t="str">
        <x:v>machined_silver</x:v>
      </x:c>
      <x:c r="I10" s="9"/>
      <x:c r="J10" s="9" t="str">
        <x:v>published</x:v>
      </x:c>
      <x:c r="K10" s="9" t="str">
        <x:v>internal_demo</x:v>
      </x:c>
      <x:c r="L10" s="9" t="str">
        <x:v>SRC-INTERNAL-DEMO-20260726</x:v>
      </x:c>
    </x:row>
    <x:row r="11" ht="24" hidden="0" customHeight="1">
      <x:c r="A11" s="10" t="str">
        <x:v>ATTRVAL-VAR-ATLAS-189-ETM12-6X1397-COLOR-KEY</x:v>
      </x:c>
      <x:c r="B11" s="10" t="str">
        <x:v>variant</x:v>
      </x:c>
      <x:c r="C11" s="10" t="str">
        <x:v>BIZON-WHEEL-VAR-ATLAS-189-ETM12-6X1397</x:v>
      </x:c>
      <x:c r="D11" s="10" t="str">
        <x:v>color_key</x:v>
      </x:c>
      <x:c r="E11" s="10"/>
      <x:c r="F11" s="32"/>
      <x:c r="G11" s="10"/>
      <x:c r="H11" s="10" t="str">
        <x:v>silver</x:v>
      </x:c>
      <x:c r="I11" s="10"/>
      <x:c r="J11" s="10" t="str">
        <x:v>published</x:v>
      </x:c>
      <x:c r="K11" s="10" t="str">
        <x:v>internal_demo</x:v>
      </x:c>
      <x:c r="L11" s="10" t="str">
        <x:v>SRC-INTERNAL-DEMO-20260726</x:v>
      </x:c>
    </x:row>
    <x:row r="12" ht="24" hidden="0" customHeight="1">
      <x:c r="A12" s="9" t="str">
        <x:v>ATTRVAL-VAR-ATLAS-209-ET18-6X1397-BEADLOCK-TYPE</x:v>
      </x:c>
      <x:c r="B12" s="9" t="str">
        <x:v>variant</x:v>
      </x:c>
      <x:c r="C12" s="9" t="str">
        <x:v>BIZON-WHEEL-VAR-ATLAS-209-ET18-6X1397</x:v>
      </x:c>
      <x:c r="D12" s="9" t="str">
        <x:v>beadlock_type</x:v>
      </x:c>
      <x:c r="E12" s="9"/>
      <x:c r="F12" s="31"/>
      <x:c r="G12" s="9"/>
      <x:c r="H12" s="9" t="str">
        <x:v>simulated</x:v>
      </x:c>
      <x:c r="I12" s="9"/>
      <x:c r="J12" s="9" t="str">
        <x:v>published</x:v>
      </x:c>
      <x:c r="K12" s="9" t="str">
        <x:v>internal_demo</x:v>
      </x:c>
      <x:c r="L12" s="9" t="str">
        <x:v>SRC-INTERNAL-DEMO-20260726</x:v>
      </x:c>
    </x:row>
    <x:row r="13" ht="24" hidden="0" customHeight="1">
      <x:c r="A13" s="10" t="str">
        <x:v>ATTRVAL-VAR-ATLAS-209-ET18-6X1397-FACE-PROFILE</x:v>
      </x:c>
      <x:c r="B13" s="10" t="str">
        <x:v>variant</x:v>
      </x:c>
      <x:c r="C13" s="10" t="str">
        <x:v>BIZON-WHEEL-VAR-ATLAS-209-ET18-6X1397</x:v>
      </x:c>
      <x:c r="D13" s="10" t="str">
        <x:v>face_profile</x:v>
      </x:c>
      <x:c r="E13" s="10"/>
      <x:c r="F13" s="32"/>
      <x:c r="G13" s="10"/>
      <x:c r="H13" s="10" t="str">
        <x:v>concave</x:v>
      </x:c>
      <x:c r="I13" s="10"/>
      <x:c r="J13" s="10" t="str">
        <x:v>published</x:v>
      </x:c>
      <x:c r="K13" s="10" t="str">
        <x:v>internal_demo</x:v>
      </x:c>
      <x:c r="L13" s="10" t="str">
        <x:v>SRC-INTERNAL-DEMO-20260726</x:v>
      </x:c>
    </x:row>
    <x:row r="14" ht="24" hidden="0" customHeight="1">
      <x:c r="A14" s="9" t="str">
        <x:v>ATTRVAL-VAR-ATLAS-209-ET18-6X1397-WEIGHT-KG</x:v>
      </x:c>
      <x:c r="B14" s="9" t="str">
        <x:v>variant</x:v>
      </x:c>
      <x:c r="C14" s="9" t="str">
        <x:v>BIZON-WHEEL-VAR-ATLAS-209-ET18-6X1397</x:v>
      </x:c>
      <x:c r="D14" s="9" t="str">
        <x:v>weight_kg</x:v>
      </x:c>
      <x:c r="E14" s="9"/>
      <x:c r="F14" s="31" t="n">
        <x:v>13.4</x:v>
      </x:c>
      <x:c r="G14" s="9"/>
      <x:c r="H14" s="9"/>
      <x:c r="I14" s="9" t="str">
        <x:v>kg</x:v>
      </x:c>
      <x:c r="J14" s="9" t="str">
        <x:v>published</x:v>
      </x:c>
      <x:c r="K14" s="9" t="str">
        <x:v>internal_demo</x:v>
      </x:c>
      <x:c r="L14" s="9" t="str">
        <x:v>SRC-INTERNAL-DEMO-20260726</x:v>
      </x:c>
    </x:row>
    <x:row r="15" ht="24" hidden="0" customHeight="1">
      <x:c r="A15" s="10" t="str">
        <x:v>ATTRVAL-VAR-ATLAS-209-ET18-6X1397-FINISH-TYPE</x:v>
      </x:c>
      <x:c r="B15" s="10" t="str">
        <x:v>variant</x:v>
      </x:c>
      <x:c r="C15" s="10" t="str">
        <x:v>BIZON-WHEEL-VAR-ATLAS-209-ET18-6X1397</x:v>
      </x:c>
      <x:c r="D15" s="10" t="str">
        <x:v>finish_type</x:v>
      </x:c>
      <x:c r="E15" s="10"/>
      <x:c r="F15" s="32"/>
      <x:c r="G15" s="10"/>
      <x:c r="H15" s="10" t="str">
        <x:v>satin_black</x:v>
      </x:c>
      <x:c r="I15" s="10"/>
      <x:c r="J15" s="10" t="str">
        <x:v>published</x:v>
      </x:c>
      <x:c r="K15" s="10" t="str">
        <x:v>internal_demo</x:v>
      </x:c>
      <x:c r="L15" s="10" t="str">
        <x:v>SRC-INTERNAL-DEMO-20260726</x:v>
      </x:c>
    </x:row>
    <x:row r="16" ht="24" hidden="0" customHeight="1">
      <x:c r="A16" s="9" t="str">
        <x:v>ATTRVAL-VAR-ATLAS-209-ET18-6X1397-COLOR-KEY</x:v>
      </x:c>
      <x:c r="B16" s="9" t="str">
        <x:v>variant</x:v>
      </x:c>
      <x:c r="C16" s="9" t="str">
        <x:v>BIZON-WHEEL-VAR-ATLAS-209-ET18-6X1397</x:v>
      </x:c>
      <x:c r="D16" s="9" t="str">
        <x:v>color_key</x:v>
      </x:c>
      <x:c r="E16" s="9"/>
      <x:c r="F16" s="31"/>
      <x:c r="G16" s="9"/>
      <x:c r="H16" s="9" t="str">
        <x:v>black</x:v>
      </x:c>
      <x:c r="I16" s="9"/>
      <x:c r="J16" s="9" t="str">
        <x:v>published</x:v>
      </x:c>
      <x:c r="K16" s="9" t="str">
        <x:v>internal_demo</x:v>
      </x:c>
      <x:c r="L16" s="9" t="str">
        <x:v>SRC-INTERNAL-DEMO-20260726</x:v>
      </x:c>
    </x:row>
    <x:row r="17" ht="24" hidden="0" customHeight="1">
      <x:c r="A17" s="10" t="str">
        <x:v>ATTRVAL-VAR-ATLAS-2010-ETM18-DUAL-BEADLOCK-TYPE</x:v>
      </x:c>
      <x:c r="B17" s="10" t="str">
        <x:v>variant</x:v>
      </x:c>
      <x:c r="C17" s="10" t="str">
        <x:v>BIZON-WHEEL-VAR-ATLAS-2010-ETM18-DUAL</x:v>
      </x:c>
      <x:c r="D17" s="10" t="str">
        <x:v>beadlock_type</x:v>
      </x:c>
      <x:c r="E17" s="10"/>
      <x:c r="F17" s="32"/>
      <x:c r="G17" s="10"/>
      <x:c r="H17" s="10" t="str">
        <x:v>functional</x:v>
      </x:c>
      <x:c r="I17" s="10"/>
      <x:c r="J17" s="10" t="str">
        <x:v>published</x:v>
      </x:c>
      <x:c r="K17" s="10" t="str">
        <x:v>internal_demo</x:v>
      </x:c>
      <x:c r="L17" s="10" t="str">
        <x:v>SRC-INTERNAL-DEMO-20260726</x:v>
      </x:c>
    </x:row>
    <x:row r="18" ht="24" hidden="0" customHeight="1">
      <x:c r="A18" s="9" t="str">
        <x:v>ATTRVAL-VAR-ATLAS-2010-ETM18-DUAL-FACE-PROFILE</x:v>
      </x:c>
      <x:c r="B18" s="9" t="str">
        <x:v>variant</x:v>
      </x:c>
      <x:c r="C18" s="9" t="str">
        <x:v>BIZON-WHEEL-VAR-ATLAS-2010-ETM18-DUAL</x:v>
      </x:c>
      <x:c r="D18" s="9" t="str">
        <x:v>face_profile</x:v>
      </x:c>
      <x:c r="E18" s="9"/>
      <x:c r="F18" s="31"/>
      <x:c r="G18" s="9"/>
      <x:c r="H18" s="9" t="str">
        <x:v>deep_concave</x:v>
      </x:c>
      <x:c r="I18" s="9"/>
      <x:c r="J18" s="9" t="str">
        <x:v>published</x:v>
      </x:c>
      <x:c r="K18" s="9" t="str">
        <x:v>internal_demo</x:v>
      </x:c>
      <x:c r="L18" s="9" t="str">
        <x:v>SRC-INTERNAL-DEMO-20260726</x:v>
      </x:c>
    </x:row>
    <x:row r="19" ht="24" hidden="0" customHeight="1">
      <x:c r="A19" s="10" t="str">
        <x:v>ATTRVAL-VAR-ATLAS-2010-ETM18-DUAL-WEIGHT-KG</x:v>
      </x:c>
      <x:c r="B19" s="10" t="str">
        <x:v>variant</x:v>
      </x:c>
      <x:c r="C19" s="10" t="str">
        <x:v>BIZON-WHEEL-VAR-ATLAS-2010-ETM18-DUAL</x:v>
      </x:c>
      <x:c r="D19" s="10" t="str">
        <x:v>weight_kg</x:v>
      </x:c>
      <x:c r="E19" s="10"/>
      <x:c r="F19" s="32" t="n">
        <x:v>15.8</x:v>
      </x:c>
      <x:c r="G19" s="10"/>
      <x:c r="H19" s="10"/>
      <x:c r="I19" s="10" t="str">
        <x:v>kg</x:v>
      </x:c>
      <x:c r="J19" s="10" t="str">
        <x:v>published</x:v>
      </x:c>
      <x:c r="K19" s="10" t="str">
        <x:v>internal_demo</x:v>
      </x:c>
      <x:c r="L19" s="10" t="str">
        <x:v>SRC-INTERNAL-DEMO-20260726</x:v>
      </x:c>
    </x:row>
    <x:row r="20" ht="24" hidden="0" customHeight="1">
      <x:c r="A20" s="9" t="str">
        <x:v>ATTRVAL-VAR-ATLAS-2010-ETM18-DUAL-FINISH-TYPE</x:v>
      </x:c>
      <x:c r="B20" s="9" t="str">
        <x:v>variant</x:v>
      </x:c>
      <x:c r="C20" s="9" t="str">
        <x:v>BIZON-WHEEL-VAR-ATLAS-2010-ETM18-DUAL</x:v>
      </x:c>
      <x:c r="D20" s="9" t="str">
        <x:v>finish_type</x:v>
      </x:c>
      <x:c r="E20" s="9"/>
      <x:c r="F20" s="31"/>
      <x:c r="G20" s="9"/>
      <x:c r="H20" s="9" t="str">
        <x:v>machined_silver</x:v>
      </x:c>
      <x:c r="I20" s="9"/>
      <x:c r="J20" s="9" t="str">
        <x:v>published</x:v>
      </x:c>
      <x:c r="K20" s="9" t="str">
        <x:v>internal_demo</x:v>
      </x:c>
      <x:c r="L20" s="9" t="str">
        <x:v>SRC-INTERNAL-DEMO-20260726</x:v>
      </x:c>
    </x:row>
    <x:row r="21" ht="24" hidden="0" customHeight="1">
      <x:c r="A21" s="10" t="str">
        <x:v>ATTRVAL-VAR-ATLAS-2010-ETM18-DUAL-COLOR-KEY</x:v>
      </x:c>
      <x:c r="B21" s="10" t="str">
        <x:v>variant</x:v>
      </x:c>
      <x:c r="C21" s="10" t="str">
        <x:v>BIZON-WHEEL-VAR-ATLAS-2010-ETM18-DUAL</x:v>
      </x:c>
      <x:c r="D21" s="10" t="str">
        <x:v>color_key</x:v>
      </x:c>
      <x:c r="E21" s="10"/>
      <x:c r="F21" s="32"/>
      <x:c r="G21" s="10"/>
      <x:c r="H21" s="10" t="str">
        <x:v>silver</x:v>
      </x:c>
      <x:c r="I21" s="10"/>
      <x:c r="J21" s="10" t="str">
        <x:v>published</x:v>
      </x:c>
      <x:c r="K21" s="10" t="str">
        <x:v>internal_demo</x:v>
      </x:c>
      <x:c r="L21" s="10" t="str">
        <x:v>SRC-INTERNAL-DEMO-20260726</x:v>
      </x:c>
    </x:row>
    <x:row r="22" ht="24" hidden="0" customHeight="1">
      <x:c r="A22" s="9" t="str">
        <x:v>ATTRVAL-VAR-VECTOR-1885-ET35-5X1143-BEADLOCK-TYPE</x:v>
      </x:c>
      <x:c r="B22" s="9" t="str">
        <x:v>variant</x:v>
      </x:c>
      <x:c r="C22" s="9" t="str">
        <x:v>BIZON-WHEEL-VAR-VECTOR-1885-ET35-5X1143</x:v>
      </x:c>
      <x:c r="D22" s="9" t="str">
        <x:v>beadlock_type</x:v>
      </x:c>
      <x:c r="E22" s="9"/>
      <x:c r="F22" s="31"/>
      <x:c r="G22" s="9"/>
      <x:c r="H22" s="9" t="str">
        <x:v>none</x:v>
      </x:c>
      <x:c r="I22" s="9"/>
      <x:c r="J22" s="9" t="str">
        <x:v>published</x:v>
      </x:c>
      <x:c r="K22" s="9" t="str">
        <x:v>internal_demo</x:v>
      </x:c>
      <x:c r="L22" s="9" t="str">
        <x:v>SRC-INTERNAL-DEMO-20260726</x:v>
      </x:c>
    </x:row>
    <x:row r="23" ht="24" hidden="0" customHeight="1">
      <x:c r="A23" s="10" t="str">
        <x:v>ATTRVAL-VAR-VECTOR-1885-ET35-5X1143-FACE-PROFILE</x:v>
      </x:c>
      <x:c r="B23" s="10" t="str">
        <x:v>variant</x:v>
      </x:c>
      <x:c r="C23" s="10" t="str">
        <x:v>BIZON-WHEEL-VAR-VECTOR-1885-ET35-5X1143</x:v>
      </x:c>
      <x:c r="D23" s="10" t="str">
        <x:v>face_profile</x:v>
      </x:c>
      <x:c r="E23" s="10"/>
      <x:c r="F23" s="32"/>
      <x:c r="G23" s="10"/>
      <x:c r="H23" s="10" t="str">
        <x:v>flat</x:v>
      </x:c>
      <x:c r="I23" s="10"/>
      <x:c r="J23" s="10" t="str">
        <x:v>published</x:v>
      </x:c>
      <x:c r="K23" s="10" t="str">
        <x:v>internal_demo</x:v>
      </x:c>
      <x:c r="L23" s="10" t="str">
        <x:v>SRC-INTERNAL-DEMO-20260726</x:v>
      </x:c>
    </x:row>
    <x:row r="24" ht="24" hidden="0" customHeight="1">
      <x:c r="A24" s="9" t="str">
        <x:v>ATTRVAL-VAR-VECTOR-1885-ET35-5X1143-WEIGHT-KG</x:v>
      </x:c>
      <x:c r="B24" s="9" t="str">
        <x:v>variant</x:v>
      </x:c>
      <x:c r="C24" s="9" t="str">
        <x:v>BIZON-WHEEL-VAR-VECTOR-1885-ET35-5X1143</x:v>
      </x:c>
      <x:c r="D24" s="9" t="str">
        <x:v>weight_kg</x:v>
      </x:c>
      <x:c r="E24" s="9"/>
      <x:c r="F24" s="31" t="n">
        <x:v>9.1</x:v>
      </x:c>
      <x:c r="G24" s="9"/>
      <x:c r="H24" s="9"/>
      <x:c r="I24" s="9" t="str">
        <x:v>kg</x:v>
      </x:c>
      <x:c r="J24" s="9" t="str">
        <x:v>published</x:v>
      </x:c>
      <x:c r="K24" s="9" t="str">
        <x:v>internal_demo</x:v>
      </x:c>
      <x:c r="L24" s="9" t="str">
        <x:v>SRC-INTERNAL-DEMO-20260726</x:v>
      </x:c>
    </x:row>
    <x:row r="25" ht="24" hidden="0" customHeight="1">
      <x:c r="A25" s="10" t="str">
        <x:v>ATTRVAL-VAR-VECTOR-1885-ET35-5X1143-FINISH-TYPE</x:v>
      </x:c>
      <x:c r="B25" s="10" t="str">
        <x:v>variant</x:v>
      </x:c>
      <x:c r="C25" s="10" t="str">
        <x:v>BIZON-WHEEL-VAR-VECTOR-1885-ET35-5X1143</x:v>
      </x:c>
      <x:c r="D25" s="10" t="str">
        <x:v>finish_type</x:v>
      </x:c>
      <x:c r="E25" s="10"/>
      <x:c r="F25" s="32"/>
      <x:c r="G25" s="10"/>
      <x:c r="H25" s="10" t="str">
        <x:v>graphite</x:v>
      </x:c>
      <x:c r="I25" s="10"/>
      <x:c r="J25" s="10" t="str">
        <x:v>published</x:v>
      </x:c>
      <x:c r="K25" s="10" t="str">
        <x:v>internal_demo</x:v>
      </x:c>
      <x:c r="L25" s="10" t="str">
        <x:v>SRC-INTERNAL-DEMO-20260726</x:v>
      </x:c>
    </x:row>
    <x:row r="26" ht="24" hidden="0" customHeight="1">
      <x:c r="A26" s="9" t="str">
        <x:v>ATTRVAL-VAR-VECTOR-1885-ET35-5X1143-COLOR-KEY</x:v>
      </x:c>
      <x:c r="B26" s="9" t="str">
        <x:v>variant</x:v>
      </x:c>
      <x:c r="C26" s="9" t="str">
        <x:v>BIZON-WHEEL-VAR-VECTOR-1885-ET35-5X1143</x:v>
      </x:c>
      <x:c r="D26" s="9" t="str">
        <x:v>color_key</x:v>
      </x:c>
      <x:c r="E26" s="9"/>
      <x:c r="F26" s="31"/>
      <x:c r="G26" s="9"/>
      <x:c r="H26" s="9" t="str">
        <x:v>graphite</x:v>
      </x:c>
      <x:c r="I26" s="9"/>
      <x:c r="J26" s="9" t="str">
        <x:v>published</x:v>
      </x:c>
      <x:c r="K26" s="9" t="str">
        <x:v>internal_demo</x:v>
      </x:c>
      <x:c r="L26" s="9" t="str">
        <x:v>SRC-INTERNAL-DEMO-20260726</x:v>
      </x:c>
    </x:row>
    <x:row r="27" ht="24" hidden="0" customHeight="1">
      <x:c r="A27" s="10" t="str">
        <x:v>ATTRVAL-VAR-VECTOR-1995-ET30-5X1143-BEADLOCK-TYPE</x:v>
      </x:c>
      <x:c r="B27" s="10" t="str">
        <x:v>variant</x:v>
      </x:c>
      <x:c r="C27" s="10" t="str">
        <x:v>BIZON-WHEEL-VAR-VECTOR-1995-ET30-5X1143</x:v>
      </x:c>
      <x:c r="D27" s="10" t="str">
        <x:v>beadlock_type</x:v>
      </x:c>
      <x:c r="E27" s="10"/>
      <x:c r="F27" s="32"/>
      <x:c r="G27" s="10"/>
      <x:c r="H27" s="10" t="str">
        <x:v>none</x:v>
      </x:c>
      <x:c r="I27" s="10"/>
      <x:c r="J27" s="10" t="str">
        <x:v>published</x:v>
      </x:c>
      <x:c r="K27" s="10" t="str">
        <x:v>internal_demo</x:v>
      </x:c>
      <x:c r="L27" s="10" t="str">
        <x:v>SRC-INTERNAL-DEMO-20260726</x:v>
      </x:c>
    </x:row>
    <x:row r="28" ht="24" hidden="0" customHeight="1">
      <x:c r="A28" s="9" t="str">
        <x:v>ATTRVAL-VAR-VECTOR-1995-ET30-5X1143-FACE-PROFILE</x:v>
      </x:c>
      <x:c r="B28" s="9" t="str">
        <x:v>variant</x:v>
      </x:c>
      <x:c r="C28" s="9" t="str">
        <x:v>BIZON-WHEEL-VAR-VECTOR-1995-ET30-5X1143</x:v>
      </x:c>
      <x:c r="D28" s="9" t="str">
        <x:v>face_profile</x:v>
      </x:c>
      <x:c r="E28" s="9"/>
      <x:c r="F28" s="31"/>
      <x:c r="G28" s="9"/>
      <x:c r="H28" s="9" t="str">
        <x:v>concave</x:v>
      </x:c>
      <x:c r="I28" s="9"/>
      <x:c r="J28" s="9" t="str">
        <x:v>published</x:v>
      </x:c>
      <x:c r="K28" s="9" t="str">
        <x:v>internal_demo</x:v>
      </x:c>
      <x:c r="L28" s="9" t="str">
        <x:v>SRC-INTERNAL-DEMO-20260726</x:v>
      </x:c>
    </x:row>
    <x:row r="29" ht="24" hidden="0" customHeight="1">
      <x:c r="A29" s="10" t="str">
        <x:v>ATTRVAL-VAR-VECTOR-1995-ET30-5X1143-WEIGHT-KG</x:v>
      </x:c>
      <x:c r="B29" s="10" t="str">
        <x:v>variant</x:v>
      </x:c>
      <x:c r="C29" s="10" t="str">
        <x:v>BIZON-WHEEL-VAR-VECTOR-1995-ET30-5X1143</x:v>
      </x:c>
      <x:c r="D29" s="10" t="str">
        <x:v>weight_kg</x:v>
      </x:c>
      <x:c r="E29" s="10"/>
      <x:c r="F29" s="32" t="n">
        <x:v>9.8</x:v>
      </x:c>
      <x:c r="G29" s="10"/>
      <x:c r="H29" s="10"/>
      <x:c r="I29" s="10" t="str">
        <x:v>kg</x:v>
      </x:c>
      <x:c r="J29" s="10" t="str">
        <x:v>published</x:v>
      </x:c>
      <x:c r="K29" s="10" t="str">
        <x:v>internal_demo</x:v>
      </x:c>
      <x:c r="L29" s="10" t="str">
        <x:v>SRC-INTERNAL-DEMO-20260726</x:v>
      </x:c>
    </x:row>
    <x:row r="30" ht="24" hidden="0" customHeight="1">
      <x:c r="A30" s="9" t="str">
        <x:v>ATTRVAL-VAR-VECTOR-1995-ET30-5X1143-FINISH-TYPE</x:v>
      </x:c>
      <x:c r="B30" s="9" t="str">
        <x:v>variant</x:v>
      </x:c>
      <x:c r="C30" s="9" t="str">
        <x:v>BIZON-WHEEL-VAR-VECTOR-1995-ET30-5X1143</x:v>
      </x:c>
      <x:c r="D30" s="9" t="str">
        <x:v>finish_type</x:v>
      </x:c>
      <x:c r="E30" s="9"/>
      <x:c r="F30" s="31"/>
      <x:c r="G30" s="9"/>
      <x:c r="H30" s="9" t="str">
        <x:v>graphite</x:v>
      </x:c>
      <x:c r="I30" s="9"/>
      <x:c r="J30" s="9" t="str">
        <x:v>published</x:v>
      </x:c>
      <x:c r="K30" s="9" t="str">
        <x:v>internal_demo</x:v>
      </x:c>
      <x:c r="L30" s="9" t="str">
        <x:v>SRC-INTERNAL-DEMO-20260726</x:v>
      </x:c>
    </x:row>
    <x:row r="31" ht="24" hidden="0" customHeight="1">
      <x:c r="A31" s="10" t="str">
        <x:v>ATTRVAL-VAR-VECTOR-1995-ET30-5X1143-COLOR-KEY</x:v>
      </x:c>
      <x:c r="B31" s="10" t="str">
        <x:v>variant</x:v>
      </x:c>
      <x:c r="C31" s="10" t="str">
        <x:v>BIZON-WHEEL-VAR-VECTOR-1995-ET30-5X1143</x:v>
      </x:c>
      <x:c r="D31" s="10" t="str">
        <x:v>color_key</x:v>
      </x:c>
      <x:c r="E31" s="10"/>
      <x:c r="F31" s="32"/>
      <x:c r="G31" s="10"/>
      <x:c r="H31" s="10" t="str">
        <x:v>graphite</x:v>
      </x:c>
      <x:c r="I31" s="10"/>
      <x:c r="J31" s="10" t="str">
        <x:v>published</x:v>
      </x:c>
      <x:c r="K31" s="10" t="str">
        <x:v>internal_demo</x:v>
      </x:c>
      <x:c r="L31" s="10" t="str">
        <x:v>SRC-INTERNAL-DEMO-20260726</x:v>
      </x:c>
    </x:row>
    <x:row r="32" ht="24" hidden="0" customHeight="1">
      <x:c r="A32" s="9" t="str">
        <x:v>ATTRVAL-VAR-VECTOR-209-ET35-5X112-BEADLOCK-TYPE</x:v>
      </x:c>
      <x:c r="B32" s="9" t="str">
        <x:v>variant</x:v>
      </x:c>
      <x:c r="C32" s="9" t="str">
        <x:v>BIZON-WHEEL-VAR-VECTOR-209-ET35-5X112</x:v>
      </x:c>
      <x:c r="D32" s="9" t="str">
        <x:v>beadlock_type</x:v>
      </x:c>
      <x:c r="E32" s="9"/>
      <x:c r="F32" s="31"/>
      <x:c r="G32" s="9"/>
      <x:c r="H32" s="9" t="str">
        <x:v>none</x:v>
      </x:c>
      <x:c r="I32" s="9"/>
      <x:c r="J32" s="9" t="str">
        <x:v>published</x:v>
      </x:c>
      <x:c r="K32" s="9" t="str">
        <x:v>internal_demo</x:v>
      </x:c>
      <x:c r="L32" s="9" t="str">
        <x:v>SRC-INTERNAL-DEMO-20260726</x:v>
      </x:c>
    </x:row>
    <x:row r="33" ht="24" hidden="0" customHeight="1">
      <x:c r="A33" s="10" t="str">
        <x:v>ATTRVAL-VAR-VECTOR-209-ET35-5X112-FACE-PROFILE</x:v>
      </x:c>
      <x:c r="B33" s="10" t="str">
        <x:v>variant</x:v>
      </x:c>
      <x:c r="C33" s="10" t="str">
        <x:v>BIZON-WHEEL-VAR-VECTOR-209-ET35-5X112</x:v>
      </x:c>
      <x:c r="D33" s="10" t="str">
        <x:v>face_profile</x:v>
      </x:c>
      <x:c r="E33" s="10"/>
      <x:c r="F33" s="32"/>
      <x:c r="G33" s="10"/>
      <x:c r="H33" s="10" t="str">
        <x:v>flat</x:v>
      </x:c>
      <x:c r="I33" s="10"/>
      <x:c r="J33" s="10" t="str">
        <x:v>published</x:v>
      </x:c>
      <x:c r="K33" s="10" t="str">
        <x:v>internal_demo</x:v>
      </x:c>
      <x:c r="L33" s="10" t="str">
        <x:v>SRC-INTERNAL-DEMO-20260726</x:v>
      </x:c>
    </x:row>
    <x:row r="34" ht="24" hidden="0" customHeight="1">
      <x:c r="A34" s="9" t="str">
        <x:v>ATTRVAL-VAR-VECTOR-209-ET35-5X112-WEIGHT-KG</x:v>
      </x:c>
      <x:c r="B34" s="9" t="str">
        <x:v>variant</x:v>
      </x:c>
      <x:c r="C34" s="9" t="str">
        <x:v>BIZON-WHEEL-VAR-VECTOR-209-ET35-5X112</x:v>
      </x:c>
      <x:c r="D34" s="9" t="str">
        <x:v>weight_kg</x:v>
      </x:c>
      <x:c r="E34" s="9"/>
      <x:c r="F34" s="31" t="n">
        <x:v>10.6</x:v>
      </x:c>
      <x:c r="G34" s="9"/>
      <x:c r="H34" s="9"/>
      <x:c r="I34" s="9" t="str">
        <x:v>kg</x:v>
      </x:c>
      <x:c r="J34" s="9" t="str">
        <x:v>published</x:v>
      </x:c>
      <x:c r="K34" s="9" t="str">
        <x:v>internal_demo</x:v>
      </x:c>
      <x:c r="L34" s="9" t="str">
        <x:v>SRC-INTERNAL-DEMO-20260726</x:v>
      </x:c>
    </x:row>
    <x:row r="35" ht="24" hidden="0" customHeight="1">
      <x:c r="A35" s="10" t="str">
        <x:v>ATTRVAL-VAR-VECTOR-209-ET35-5X112-FINISH-TYPE</x:v>
      </x:c>
      <x:c r="B35" s="10" t="str">
        <x:v>variant</x:v>
      </x:c>
      <x:c r="C35" s="10" t="str">
        <x:v>BIZON-WHEEL-VAR-VECTOR-209-ET35-5X112</x:v>
      </x:c>
      <x:c r="D35" s="10" t="str">
        <x:v>finish_type</x:v>
      </x:c>
      <x:c r="E35" s="10"/>
      <x:c r="F35" s="32"/>
      <x:c r="G35" s="10"/>
      <x:c r="H35" s="10" t="str">
        <x:v>graphite</x:v>
      </x:c>
      <x:c r="I35" s="10"/>
      <x:c r="J35" s="10" t="str">
        <x:v>published</x:v>
      </x:c>
      <x:c r="K35" s="10" t="str">
        <x:v>internal_demo</x:v>
      </x:c>
      <x:c r="L35" s="10" t="str">
        <x:v>SRC-INTERNAL-DEMO-20260726</x:v>
      </x:c>
    </x:row>
    <x:row r="36" ht="24" hidden="0" customHeight="1">
      <x:c r="A36" s="9" t="str">
        <x:v>ATTRVAL-VAR-VECTOR-209-ET35-5X112-COLOR-KEY</x:v>
      </x:c>
      <x:c r="B36" s="9" t="str">
        <x:v>variant</x:v>
      </x:c>
      <x:c r="C36" s="9" t="str">
        <x:v>BIZON-WHEEL-VAR-VECTOR-209-ET35-5X112</x:v>
      </x:c>
      <x:c r="D36" s="9" t="str">
        <x:v>color_key</x:v>
      </x:c>
      <x:c r="E36" s="9"/>
      <x:c r="F36" s="31"/>
      <x:c r="G36" s="9"/>
      <x:c r="H36" s="9" t="str">
        <x:v>graphite</x:v>
      </x:c>
      <x:c r="I36" s="9"/>
      <x:c r="J36" s="9" t="str">
        <x:v>published</x:v>
      </x:c>
      <x:c r="K36" s="9" t="str">
        <x:v>internal_demo</x:v>
      </x:c>
      <x:c r="L36" s="9" t="str">
        <x:v>SRC-INTERNAL-DEMO-20260726</x:v>
      </x:c>
    </x:row>
    <x:row r="37" ht="24" hidden="0" customHeight="1">
      <x:c r="A37" s="10" t="str">
        <x:v>ATTRVAL-VAR-VECTOR-20105-ET40-5X112-BEADLOCK-TYPE</x:v>
      </x:c>
      <x:c r="B37" s="10" t="str">
        <x:v>variant</x:v>
      </x:c>
      <x:c r="C37" s="10" t="str">
        <x:v>BIZON-WHEEL-VAR-VECTOR-20105-ET40-5X112</x:v>
      </x:c>
      <x:c r="D37" s="10" t="str">
        <x:v>beadlock_type</x:v>
      </x:c>
      <x:c r="E37" s="10"/>
      <x:c r="F37" s="32"/>
      <x:c r="G37" s="10"/>
      <x:c r="H37" s="10" t="str">
        <x:v>none</x:v>
      </x:c>
      <x:c r="I37" s="10"/>
      <x:c r="J37" s="10" t="str">
        <x:v>published</x:v>
      </x:c>
      <x:c r="K37" s="10" t="str">
        <x:v>internal_demo</x:v>
      </x:c>
      <x:c r="L37" s="10" t="str">
        <x:v>SRC-INTERNAL-DEMO-20260726</x:v>
      </x:c>
    </x:row>
    <x:row r="38" ht="24" hidden="0" customHeight="1">
      <x:c r="A38" s="9" t="str">
        <x:v>ATTRVAL-VAR-VECTOR-20105-ET40-5X112-FACE-PROFILE</x:v>
      </x:c>
      <x:c r="B38" s="9" t="str">
        <x:v>variant</x:v>
      </x:c>
      <x:c r="C38" s="9" t="str">
        <x:v>BIZON-WHEEL-VAR-VECTOR-20105-ET40-5X112</x:v>
      </x:c>
      <x:c r="D38" s="9" t="str">
        <x:v>face_profile</x:v>
      </x:c>
      <x:c r="E38" s="9"/>
      <x:c r="F38" s="31"/>
      <x:c r="G38" s="9"/>
      <x:c r="H38" s="9" t="str">
        <x:v>deep_concave</x:v>
      </x:c>
      <x:c r="I38" s="9"/>
      <x:c r="J38" s="9" t="str">
        <x:v>published</x:v>
      </x:c>
      <x:c r="K38" s="9" t="str">
        <x:v>internal_demo</x:v>
      </x:c>
      <x:c r="L38" s="9" t="str">
        <x:v>SRC-INTERNAL-DEMO-20260726</x:v>
      </x:c>
    </x:row>
    <x:row r="39" ht="24" hidden="0" customHeight="1">
      <x:c r="A39" s="10" t="str">
        <x:v>ATTRVAL-VAR-VECTOR-20105-ET40-5X112-WEIGHT-KG</x:v>
      </x:c>
      <x:c r="B39" s="10" t="str">
        <x:v>variant</x:v>
      </x:c>
      <x:c r="C39" s="10" t="str">
        <x:v>BIZON-WHEEL-VAR-VECTOR-20105-ET40-5X112</x:v>
      </x:c>
      <x:c r="D39" s="10" t="str">
        <x:v>weight_kg</x:v>
      </x:c>
      <x:c r="E39" s="10"/>
      <x:c r="F39" s="32" t="n">
        <x:v>12.4</x:v>
      </x:c>
      <x:c r="G39" s="10"/>
      <x:c r="H39" s="10"/>
      <x:c r="I39" s="10" t="str">
        <x:v>kg</x:v>
      </x:c>
      <x:c r="J39" s="10" t="str">
        <x:v>published</x:v>
      </x:c>
      <x:c r="K39" s="10" t="str">
        <x:v>internal_demo</x:v>
      </x:c>
      <x:c r="L39" s="10" t="str">
        <x:v>SRC-INTERNAL-DEMO-20260726</x:v>
      </x:c>
    </x:row>
    <x:row r="40" ht="24" hidden="0" customHeight="1">
      <x:c r="A40" s="9" t="str">
        <x:v>ATTRVAL-VAR-VECTOR-20105-ET40-5X112-FINISH-TYPE</x:v>
      </x:c>
      <x:c r="B40" s="9" t="str">
        <x:v>variant</x:v>
      </x:c>
      <x:c r="C40" s="9" t="str">
        <x:v>BIZON-WHEEL-VAR-VECTOR-20105-ET40-5X112</x:v>
      </x:c>
      <x:c r="D40" s="9" t="str">
        <x:v>finish_type</x:v>
      </x:c>
      <x:c r="E40" s="9"/>
      <x:c r="F40" s="31"/>
      <x:c r="G40" s="9"/>
      <x:c r="H40" s="9" t="str">
        <x:v>brushed_clear</x:v>
      </x:c>
      <x:c r="I40" s="9"/>
      <x:c r="J40" s="9" t="str">
        <x:v>published</x:v>
      </x:c>
      <x:c r="K40" s="9" t="str">
        <x:v>internal_demo</x:v>
      </x:c>
      <x:c r="L40" s="9" t="str">
        <x:v>SRC-INTERNAL-DEMO-20260726</x:v>
      </x:c>
    </x:row>
    <x:row r="41" ht="24" hidden="0" customHeight="1">
      <x:c r="A41" s="10" t="str">
        <x:v>ATTRVAL-VAR-VECTOR-20105-ET40-5X112-COLOR-KEY</x:v>
      </x:c>
      <x:c r="B41" s="10" t="str">
        <x:v>variant</x:v>
      </x:c>
      <x:c r="C41" s="10" t="str">
        <x:v>BIZON-WHEEL-VAR-VECTOR-20105-ET40-5X112</x:v>
      </x:c>
      <x:c r="D41" s="10" t="str">
        <x:v>color_key</x:v>
      </x:c>
      <x:c r="E41" s="10"/>
      <x:c r="F41" s="32"/>
      <x:c r="G41" s="10"/>
      <x:c r="H41" s="10" t="str">
        <x:v>silver</x:v>
      </x:c>
      <x:c r="I41" s="10"/>
      <x:c r="J41" s="10" t="str">
        <x:v>published</x:v>
      </x:c>
      <x:c r="K41" s="10" t="str">
        <x:v>internal_demo</x:v>
      </x:c>
      <x:c r="L41" s="10" t="str">
        <x:v>SRC-INTERNAL-DEMO-20260726</x:v>
      </x:c>
    </x:row>
    <x:row r="42" ht="24" hidden="0" customHeight="1">
      <x:c r="A42" s="9" t="str">
        <x:v>ATTRVAL-VAR-VECTOR-21105-ET38-5X120-BEADLOCK-TYPE</x:v>
      </x:c>
      <x:c r="B42" s="9" t="str">
        <x:v>variant</x:v>
      </x:c>
      <x:c r="C42" s="9" t="str">
        <x:v>BIZON-WHEEL-VAR-VECTOR-21105-ET38-5X120</x:v>
      </x:c>
      <x:c r="D42" s="9" t="str">
        <x:v>beadlock_type</x:v>
      </x:c>
      <x:c r="E42" s="9"/>
      <x:c r="F42" s="31"/>
      <x:c r="G42" s="9"/>
      <x:c r="H42" s="9" t="str">
        <x:v>none</x:v>
      </x:c>
      <x:c r="I42" s="9"/>
      <x:c r="J42" s="9" t="str">
        <x:v>published</x:v>
      </x:c>
      <x:c r="K42" s="9" t="str">
        <x:v>internal_demo</x:v>
      </x:c>
      <x:c r="L42" s="9" t="str">
        <x:v>SRC-INTERNAL-DEMO-20260726</x:v>
      </x:c>
    </x:row>
    <x:row r="43" ht="24" hidden="0" customHeight="1">
      <x:c r="A43" s="10" t="str">
        <x:v>ATTRVAL-VAR-VECTOR-21105-ET38-5X120-FACE-PROFILE</x:v>
      </x:c>
      <x:c r="B43" s="10" t="str">
        <x:v>variant</x:v>
      </x:c>
      <x:c r="C43" s="10" t="str">
        <x:v>BIZON-WHEEL-VAR-VECTOR-21105-ET38-5X120</x:v>
      </x:c>
      <x:c r="D43" s="10" t="str">
        <x:v>face_profile</x:v>
      </x:c>
      <x:c r="E43" s="10"/>
      <x:c r="F43" s="32"/>
      <x:c r="G43" s="10"/>
      <x:c r="H43" s="10" t="str">
        <x:v>deep_concave</x:v>
      </x:c>
      <x:c r="I43" s="10"/>
      <x:c r="J43" s="10" t="str">
        <x:v>published</x:v>
      </x:c>
      <x:c r="K43" s="10" t="str">
        <x:v>internal_demo</x:v>
      </x:c>
      <x:c r="L43" s="10" t="str">
        <x:v>SRC-INTERNAL-DEMO-20260726</x:v>
      </x:c>
    </x:row>
    <x:row r="44" ht="24" hidden="0" customHeight="1">
      <x:c r="A44" s="9" t="str">
        <x:v>ATTRVAL-VAR-VECTOR-21105-ET38-5X120-WEIGHT-KG</x:v>
      </x:c>
      <x:c r="B44" s="9" t="str">
        <x:v>variant</x:v>
      </x:c>
      <x:c r="C44" s="9" t="str">
        <x:v>BIZON-WHEEL-VAR-VECTOR-21105-ET38-5X120</x:v>
      </x:c>
      <x:c r="D44" s="9" t="str">
        <x:v>weight_kg</x:v>
      </x:c>
      <x:c r="E44" s="9"/>
      <x:c r="F44" s="31" t="n">
        <x:v>14.2</x:v>
      </x:c>
      <x:c r="G44" s="9"/>
      <x:c r="H44" s="9"/>
      <x:c r="I44" s="9" t="str">
        <x:v>kg</x:v>
      </x:c>
      <x:c r="J44" s="9" t="str">
        <x:v>published</x:v>
      </x:c>
      <x:c r="K44" s="9" t="str">
        <x:v>internal_demo</x:v>
      </x:c>
      <x:c r="L44" s="9" t="str">
        <x:v>SRC-INTERNAL-DEMO-20260726</x:v>
      </x:c>
    </x:row>
    <x:row r="45" ht="24" hidden="0" customHeight="1">
      <x:c r="A45" s="10" t="str">
        <x:v>ATTRVAL-VAR-VECTOR-21105-ET38-5X120-FINISH-TYPE</x:v>
      </x:c>
      <x:c r="B45" s="10" t="str">
        <x:v>variant</x:v>
      </x:c>
      <x:c r="C45" s="10" t="str">
        <x:v>BIZON-WHEEL-VAR-VECTOR-21105-ET38-5X120</x:v>
      </x:c>
      <x:c r="D45" s="10" t="str">
        <x:v>finish_type</x:v>
      </x:c>
      <x:c r="E45" s="10"/>
      <x:c r="F45" s="32"/>
      <x:c r="G45" s="10"/>
      <x:c r="H45" s="10" t="str">
        <x:v>brushed_clear</x:v>
      </x:c>
      <x:c r="I45" s="10"/>
      <x:c r="J45" s="10" t="str">
        <x:v>published</x:v>
      </x:c>
      <x:c r="K45" s="10" t="str">
        <x:v>internal_demo</x:v>
      </x:c>
      <x:c r="L45" s="10" t="str">
        <x:v>SRC-INTERNAL-DEMO-20260726</x:v>
      </x:c>
    </x:row>
    <x:row r="46" ht="24" hidden="0" customHeight="1">
      <x:c r="A46" s="9" t="str">
        <x:v>ATTRVAL-VAR-VECTOR-21105-ET38-5X120-COLOR-KEY</x:v>
      </x:c>
      <x:c r="B46" s="9" t="str">
        <x:v>variant</x:v>
      </x:c>
      <x:c r="C46" s="9" t="str">
        <x:v>BIZON-WHEEL-VAR-VECTOR-21105-ET38-5X120</x:v>
      </x:c>
      <x:c r="D46" s="9" t="str">
        <x:v>color_key</x:v>
      </x:c>
      <x:c r="E46" s="9"/>
      <x:c r="F46" s="31"/>
      <x:c r="G46" s="9"/>
      <x:c r="H46" s="9" t="str">
        <x:v>silver</x:v>
      </x:c>
      <x:c r="I46" s="9"/>
      <x:c r="J46" s="9" t="str">
        <x:v>published</x:v>
      </x:c>
      <x:c r="K46" s="9" t="str">
        <x:v>internal_demo</x:v>
      </x:c>
      <x:c r="L46" s="9" t="str">
        <x:v>SRC-INTERNAL-DEMO-20260726</x:v>
      </x:c>
    </x:row>
    <x:row r="47" ht="24" hidden="0" customHeight="1">
      <x:c r="A47" s="10" t="str">
        <x:v>ATTRVAL-VAR-NOMAD-1785-ET10-6X1397-BEADLOCK-TYPE</x:v>
      </x:c>
      <x:c r="B47" s="10" t="str">
        <x:v>variant</x:v>
      </x:c>
      <x:c r="C47" s="10" t="str">
        <x:v>BIZON-WHEEL-VAR-NOMAD-1785-ET10-6X1397</x:v>
      </x:c>
      <x:c r="D47" s="10" t="str">
        <x:v>beadlock_type</x:v>
      </x:c>
      <x:c r="E47" s="10"/>
      <x:c r="F47" s="32"/>
      <x:c r="G47" s="10"/>
      <x:c r="H47" s="10" t="str">
        <x:v>functional</x:v>
      </x:c>
      <x:c r="I47" s="10"/>
      <x:c r="J47" s="10" t="str">
        <x:v>published</x:v>
      </x:c>
      <x:c r="K47" s="10" t="str">
        <x:v>internal_demo</x:v>
      </x:c>
      <x:c r="L47" s="10" t="str">
        <x:v>SRC-INTERNAL-DEMO-20260726</x:v>
      </x:c>
    </x:row>
    <x:row r="48" ht="24" hidden="0" customHeight="1">
      <x:c r="A48" s="9" t="str">
        <x:v>ATTRVAL-VAR-NOMAD-1785-ET10-6X1397-FACE-PROFILE</x:v>
      </x:c>
      <x:c r="B48" s="9" t="str">
        <x:v>variant</x:v>
      </x:c>
      <x:c r="C48" s="9" t="str">
        <x:v>BIZON-WHEEL-VAR-NOMAD-1785-ET10-6X1397</x:v>
      </x:c>
      <x:c r="D48" s="9" t="str">
        <x:v>face_profile</x:v>
      </x:c>
      <x:c r="E48" s="9"/>
      <x:c r="F48" s="31"/>
      <x:c r="G48" s="9"/>
      <x:c r="H48" s="9" t="str">
        <x:v>concave</x:v>
      </x:c>
      <x:c r="I48" s="9"/>
      <x:c r="J48" s="9" t="str">
        <x:v>published</x:v>
      </x:c>
      <x:c r="K48" s="9" t="str">
        <x:v>internal_demo</x:v>
      </x:c>
      <x:c r="L48" s="9" t="str">
        <x:v>SRC-INTERNAL-DEMO-20260726</x:v>
      </x:c>
    </x:row>
    <x:row r="49" ht="24" hidden="0" customHeight="1">
      <x:c r="A49" s="10" t="str">
        <x:v>ATTRVAL-VAR-NOMAD-1785-ET10-6X1397-WEIGHT-KG</x:v>
      </x:c>
      <x:c r="B49" s="10" t="str">
        <x:v>variant</x:v>
      </x:c>
      <x:c r="C49" s="10" t="str">
        <x:v>BIZON-WHEEL-VAR-NOMAD-1785-ET10-6X1397</x:v>
      </x:c>
      <x:c r="D49" s="10" t="str">
        <x:v>weight_kg</x:v>
      </x:c>
      <x:c r="E49" s="10"/>
      <x:c r="F49" s="32" t="n">
        <x:v>11.6</x:v>
      </x:c>
      <x:c r="G49" s="10"/>
      <x:c r="H49" s="10"/>
      <x:c r="I49" s="10" t="str">
        <x:v>kg</x:v>
      </x:c>
      <x:c r="J49" s="10" t="str">
        <x:v>published</x:v>
      </x:c>
      <x:c r="K49" s="10" t="str">
        <x:v>internal_demo</x:v>
      </x:c>
      <x:c r="L49" s="10" t="str">
        <x:v>SRC-INTERNAL-DEMO-20260726</x:v>
      </x:c>
    </x:row>
    <x:row r="50" ht="24" hidden="0" customHeight="1">
      <x:c r="A50" s="9" t="str">
        <x:v>ATTRVAL-VAR-NOMAD-1785-ET10-6X1397-FINISH-TYPE</x:v>
      </x:c>
      <x:c r="B50" s="9" t="str">
        <x:v>variant</x:v>
      </x:c>
      <x:c r="C50" s="9" t="str">
        <x:v>BIZON-WHEEL-VAR-NOMAD-1785-ET10-6X1397</x:v>
      </x:c>
      <x:c r="D50" s="9" t="str">
        <x:v>finish_type</x:v>
      </x:c>
      <x:c r="E50" s="9"/>
      <x:c r="F50" s="31"/>
      <x:c r="G50" s="9"/>
      <x:c r="H50" s="9" t="str">
        <x:v>bronze</x:v>
      </x:c>
      <x:c r="I50" s="9"/>
      <x:c r="J50" s="9" t="str">
        <x:v>published</x:v>
      </x:c>
      <x:c r="K50" s="9" t="str">
        <x:v>internal_demo</x:v>
      </x:c>
      <x:c r="L50" s="9" t="str">
        <x:v>SRC-INTERNAL-DEMO-20260726</x:v>
      </x:c>
    </x:row>
    <x:row r="51" ht="24" hidden="0" customHeight="1">
      <x:c r="A51" s="10" t="str">
        <x:v>ATTRVAL-VAR-NOMAD-1785-ET10-6X1397-COLOR-KEY</x:v>
      </x:c>
      <x:c r="B51" s="10" t="str">
        <x:v>variant</x:v>
      </x:c>
      <x:c r="C51" s="10" t="str">
        <x:v>BIZON-WHEEL-VAR-NOMAD-1785-ET10-6X1397</x:v>
      </x:c>
      <x:c r="D51" s="10" t="str">
        <x:v>color_key</x:v>
      </x:c>
      <x:c r="E51" s="10"/>
      <x:c r="F51" s="32"/>
      <x:c r="G51" s="10"/>
      <x:c r="H51" s="10" t="str">
        <x:v>bronze</x:v>
      </x:c>
      <x:c r="I51" s="10"/>
      <x:c r="J51" s="10" t="str">
        <x:v>published</x:v>
      </x:c>
      <x:c r="K51" s="10" t="str">
        <x:v>internal_demo</x:v>
      </x:c>
      <x:c r="L51" s="10" t="str">
        <x:v>SRC-INTERNAL-DEMO-20260726</x:v>
      </x:c>
    </x:row>
    <x:row r="52" ht="24" hidden="0" customHeight="1">
      <x:c r="A52" s="9" t="str">
        <x:v>ATTRVAL-VAR-NOMAD-189-ET0-6X1397-BEADLOCK-TYPE</x:v>
      </x:c>
      <x:c r="B52" s="9" t="str">
        <x:v>variant</x:v>
      </x:c>
      <x:c r="C52" s="9" t="str">
        <x:v>BIZON-WHEEL-VAR-NOMAD-189-ET0-6X1397</x:v>
      </x:c>
      <x:c r="D52" s="9" t="str">
        <x:v>beadlock_type</x:v>
      </x:c>
      <x:c r="E52" s="9"/>
      <x:c r="F52" s="31"/>
      <x:c r="G52" s="9"/>
      <x:c r="H52" s="9" t="str">
        <x:v>functional</x:v>
      </x:c>
      <x:c r="I52" s="9"/>
      <x:c r="J52" s="9" t="str">
        <x:v>published</x:v>
      </x:c>
      <x:c r="K52" s="9" t="str">
        <x:v>internal_demo</x:v>
      </x:c>
      <x:c r="L52" s="9" t="str">
        <x:v>SRC-INTERNAL-DEMO-20260726</x:v>
      </x:c>
    </x:row>
    <x:row r="53" ht="24" hidden="0" customHeight="1">
      <x:c r="A53" s="10" t="str">
        <x:v>ATTRVAL-VAR-NOMAD-189-ET0-6X1397-FACE-PROFILE</x:v>
      </x:c>
      <x:c r="B53" s="10" t="str">
        <x:v>variant</x:v>
      </x:c>
      <x:c r="C53" s="10" t="str">
        <x:v>BIZON-WHEEL-VAR-NOMAD-189-ET0-6X1397</x:v>
      </x:c>
      <x:c r="D53" s="10" t="str">
        <x:v>face_profile</x:v>
      </x:c>
      <x:c r="E53" s="10"/>
      <x:c r="F53" s="32"/>
      <x:c r="G53" s="10"/>
      <x:c r="H53" s="10" t="str">
        <x:v>deep_concave</x:v>
      </x:c>
      <x:c r="I53" s="10"/>
      <x:c r="J53" s="10" t="str">
        <x:v>published</x:v>
      </x:c>
      <x:c r="K53" s="10" t="str">
        <x:v>internal_demo</x:v>
      </x:c>
      <x:c r="L53" s="10" t="str">
        <x:v>SRC-INTERNAL-DEMO-20260726</x:v>
      </x:c>
    </x:row>
    <x:row r="54" ht="24" hidden="0" customHeight="1">
      <x:c r="A54" s="9" t="str">
        <x:v>ATTRVAL-VAR-NOMAD-189-ET0-6X1397-WEIGHT-KG</x:v>
      </x:c>
      <x:c r="B54" s="9" t="str">
        <x:v>variant</x:v>
      </x:c>
      <x:c r="C54" s="9" t="str">
        <x:v>BIZON-WHEEL-VAR-NOMAD-189-ET0-6X1397</x:v>
      </x:c>
      <x:c r="D54" s="9" t="str">
        <x:v>weight_kg</x:v>
      </x:c>
      <x:c r="E54" s="9"/>
      <x:c r="F54" s="31" t="n">
        <x:v>12.7</x:v>
      </x:c>
      <x:c r="G54" s="9"/>
      <x:c r="H54" s="9"/>
      <x:c r="I54" s="9" t="str">
        <x:v>kg</x:v>
      </x:c>
      <x:c r="J54" s="9" t="str">
        <x:v>published</x:v>
      </x:c>
      <x:c r="K54" s="9" t="str">
        <x:v>internal_demo</x:v>
      </x:c>
      <x:c r="L54" s="9" t="str">
        <x:v>SRC-INTERNAL-DEMO-20260726</x:v>
      </x:c>
    </x:row>
    <x:row r="55" ht="24" hidden="0" customHeight="1">
      <x:c r="A55" s="10" t="str">
        <x:v>ATTRVAL-VAR-NOMAD-189-ET0-6X1397-FINISH-TYPE</x:v>
      </x:c>
      <x:c r="B55" s="10" t="str">
        <x:v>variant</x:v>
      </x:c>
      <x:c r="C55" s="10" t="str">
        <x:v>BIZON-WHEEL-VAR-NOMAD-189-ET0-6X1397</x:v>
      </x:c>
      <x:c r="D55" s="10" t="str">
        <x:v>finish_type</x:v>
      </x:c>
      <x:c r="E55" s="10"/>
      <x:c r="F55" s="32"/>
      <x:c r="G55" s="10"/>
      <x:c r="H55" s="10" t="str">
        <x:v>bronze</x:v>
      </x:c>
      <x:c r="I55" s="10"/>
      <x:c r="J55" s="10" t="str">
        <x:v>published</x:v>
      </x:c>
      <x:c r="K55" s="10" t="str">
        <x:v>internal_demo</x:v>
      </x:c>
      <x:c r="L55" s="10" t="str">
        <x:v>SRC-INTERNAL-DEMO-20260726</x:v>
      </x:c>
    </x:row>
    <x:row r="56" ht="24" hidden="0" customHeight="1">
      <x:c r="A56" s="9" t="str">
        <x:v>ATTRVAL-VAR-NOMAD-189-ET0-6X1397-COLOR-KEY</x:v>
      </x:c>
      <x:c r="B56" s="9" t="str">
        <x:v>variant</x:v>
      </x:c>
      <x:c r="C56" s="9" t="str">
        <x:v>BIZON-WHEEL-VAR-NOMAD-189-ET0-6X1397</x:v>
      </x:c>
      <x:c r="D56" s="9" t="str">
        <x:v>color_key</x:v>
      </x:c>
      <x:c r="E56" s="9"/>
      <x:c r="F56" s="31"/>
      <x:c r="G56" s="9"/>
      <x:c r="H56" s="9" t="str">
        <x:v>bronze</x:v>
      </x:c>
      <x:c r="I56" s="9"/>
      <x:c r="J56" s="9" t="str">
        <x:v>published</x:v>
      </x:c>
      <x:c r="K56" s="9" t="str">
        <x:v>internal_demo</x:v>
      </x:c>
      <x:c r="L56" s="9" t="str">
        <x:v>SRC-INTERNAL-DEMO-20260726</x:v>
      </x:c>
    </x:row>
    <x:row r="57" ht="24" hidden="0" customHeight="1">
      <x:c r="A57" s="10" t="str">
        <x:v>ATTRVAL-VAR-NOMAD-189-ET18-6X1397-BEADLOCK-TYPE</x:v>
      </x:c>
      <x:c r="B57" s="10" t="str">
        <x:v>variant</x:v>
      </x:c>
      <x:c r="C57" s="10" t="str">
        <x:v>BIZON-WHEEL-VAR-NOMAD-189-ET18-6X1397</x:v>
      </x:c>
      <x:c r="D57" s="10" t="str">
        <x:v>beadlock_type</x:v>
      </x:c>
      <x:c r="E57" s="10"/>
      <x:c r="F57" s="32"/>
      <x:c r="G57" s="10"/>
      <x:c r="H57" s="10" t="str">
        <x:v>simulated</x:v>
      </x:c>
      <x:c r="I57" s="10"/>
      <x:c r="J57" s="10" t="str">
        <x:v>published</x:v>
      </x:c>
      <x:c r="K57" s="10" t="str">
        <x:v>internal_demo</x:v>
      </x:c>
      <x:c r="L57" s="10" t="str">
        <x:v>SRC-INTERNAL-DEMO-20260726</x:v>
      </x:c>
    </x:row>
    <x:row r="58" ht="24" hidden="0" customHeight="1">
      <x:c r="A58" s="9" t="str">
        <x:v>ATTRVAL-VAR-NOMAD-189-ET18-6X1397-FACE-PROFILE</x:v>
      </x:c>
      <x:c r="B58" s="9" t="str">
        <x:v>variant</x:v>
      </x:c>
      <x:c r="C58" s="9" t="str">
        <x:v>BIZON-WHEEL-VAR-NOMAD-189-ET18-6X1397</x:v>
      </x:c>
      <x:c r="D58" s="9" t="str">
        <x:v>face_profile</x:v>
      </x:c>
      <x:c r="E58" s="9"/>
      <x:c r="F58" s="31"/>
      <x:c r="G58" s="9"/>
      <x:c r="H58" s="9" t="str">
        <x:v>concave</x:v>
      </x:c>
      <x:c r="I58" s="9"/>
      <x:c r="J58" s="9" t="str">
        <x:v>published</x:v>
      </x:c>
      <x:c r="K58" s="9" t="str">
        <x:v>internal_demo</x:v>
      </x:c>
      <x:c r="L58" s="9" t="str">
        <x:v>SRC-INTERNAL-DEMO-20260726</x:v>
      </x:c>
    </x:row>
    <x:row r="59" ht="24" hidden="0" customHeight="1">
      <x:c r="A59" s="10" t="str">
        <x:v>ATTRVAL-VAR-NOMAD-189-ET18-6X1397-WEIGHT-KG</x:v>
      </x:c>
      <x:c r="B59" s="10" t="str">
        <x:v>variant</x:v>
      </x:c>
      <x:c r="C59" s="10" t="str">
        <x:v>BIZON-WHEEL-VAR-NOMAD-189-ET18-6X1397</x:v>
      </x:c>
      <x:c r="D59" s="10" t="str">
        <x:v>weight_kg</x:v>
      </x:c>
      <x:c r="E59" s="10"/>
      <x:c r="F59" s="32" t="n">
        <x:v>14.1</x:v>
      </x:c>
      <x:c r="G59" s="10"/>
      <x:c r="H59" s="10"/>
      <x:c r="I59" s="10" t="str">
        <x:v>kg</x:v>
      </x:c>
      <x:c r="J59" s="10" t="str">
        <x:v>published</x:v>
      </x:c>
      <x:c r="K59" s="10" t="str">
        <x:v>internal_demo</x:v>
      </x:c>
      <x:c r="L59" s="10" t="str">
        <x:v>SRC-INTERNAL-DEMO-20260726</x:v>
      </x:c>
    </x:row>
    <x:row r="60" ht="24" hidden="0" customHeight="1">
      <x:c r="A60" s="9" t="str">
        <x:v>ATTRVAL-VAR-NOMAD-189-ET18-6X1397-FINISH-TYPE</x:v>
      </x:c>
      <x:c r="B60" s="9" t="str">
        <x:v>variant</x:v>
      </x:c>
      <x:c r="C60" s="9" t="str">
        <x:v>BIZON-WHEEL-VAR-NOMAD-189-ET18-6X1397</x:v>
      </x:c>
      <x:c r="D60" s="9" t="str">
        <x:v>finish_type</x:v>
      </x:c>
      <x:c r="E60" s="9"/>
      <x:c r="F60" s="31"/>
      <x:c r="G60" s="9"/>
      <x:c r="H60" s="9" t="str">
        <x:v>satin_black</x:v>
      </x:c>
      <x:c r="I60" s="9"/>
      <x:c r="J60" s="9" t="str">
        <x:v>published</x:v>
      </x:c>
      <x:c r="K60" s="9" t="str">
        <x:v>internal_demo</x:v>
      </x:c>
      <x:c r="L60" s="9" t="str">
        <x:v>SRC-INTERNAL-DEMO-20260726</x:v>
      </x:c>
    </x:row>
    <x:row r="61" ht="24" hidden="0" customHeight="1">
      <x:c r="A61" s="10" t="str">
        <x:v>ATTRVAL-VAR-NOMAD-189-ET18-6X1397-COLOR-KEY</x:v>
      </x:c>
      <x:c r="B61" s="10" t="str">
        <x:v>variant</x:v>
      </x:c>
      <x:c r="C61" s="10" t="str">
        <x:v>BIZON-WHEEL-VAR-NOMAD-189-ET18-6X1397</x:v>
      </x:c>
      <x:c r="D61" s="10" t="str">
        <x:v>color_key</x:v>
      </x:c>
      <x:c r="E61" s="10"/>
      <x:c r="F61" s="32"/>
      <x:c r="G61" s="10"/>
      <x:c r="H61" s="10" t="str">
        <x:v>black</x:v>
      </x:c>
      <x:c r="I61" s="10"/>
      <x:c r="J61" s="10" t="str">
        <x:v>published</x:v>
      </x:c>
      <x:c r="K61" s="10" t="str">
        <x:v>internal_demo</x:v>
      </x:c>
      <x:c r="L61" s="10" t="str">
        <x:v>SRC-INTERNAL-DEMO-20260726</x:v>
      </x:c>
    </x:row>
    <x:row r="62" ht="24" hidden="0" customHeight="1">
      <x:c r="A62" s="9" t="str">
        <x:v>ATTRVAL-VAR-NOMAD-209-ET25-6X1397-BEADLOCK-TYPE</x:v>
      </x:c>
      <x:c r="B62" s="9" t="str">
        <x:v>variant</x:v>
      </x:c>
      <x:c r="C62" s="9" t="str">
        <x:v>BIZON-WHEEL-VAR-NOMAD-209-ET25-6X1397</x:v>
      </x:c>
      <x:c r="D62" s="9" t="str">
        <x:v>beadlock_type</x:v>
      </x:c>
      <x:c r="E62" s="9"/>
      <x:c r="F62" s="31"/>
      <x:c r="G62" s="9"/>
      <x:c r="H62" s="9" t="str">
        <x:v>none</x:v>
      </x:c>
      <x:c r="I62" s="9"/>
      <x:c r="J62" s="9" t="str">
        <x:v>published</x:v>
      </x:c>
      <x:c r="K62" s="9" t="str">
        <x:v>internal_demo</x:v>
      </x:c>
      <x:c r="L62" s="9" t="str">
        <x:v>SRC-INTERNAL-DEMO-20260726</x:v>
      </x:c>
    </x:row>
    <x:row r="63" ht="24" hidden="0" customHeight="1">
      <x:c r="A63" s="10" t="str">
        <x:v>ATTRVAL-VAR-NOMAD-209-ET25-6X1397-FACE-PROFILE</x:v>
      </x:c>
      <x:c r="B63" s="10" t="str">
        <x:v>variant</x:v>
      </x:c>
      <x:c r="C63" s="10" t="str">
        <x:v>BIZON-WHEEL-VAR-NOMAD-209-ET25-6X1397</x:v>
      </x:c>
      <x:c r="D63" s="10" t="str">
        <x:v>face_profile</x:v>
      </x:c>
      <x:c r="E63" s="10"/>
      <x:c r="F63" s="32"/>
      <x:c r="G63" s="10"/>
      <x:c r="H63" s="10" t="str">
        <x:v>concave</x:v>
      </x:c>
      <x:c r="I63" s="10"/>
      <x:c r="J63" s="10" t="str">
        <x:v>published</x:v>
      </x:c>
      <x:c r="K63" s="10" t="str">
        <x:v>internal_demo</x:v>
      </x:c>
      <x:c r="L63" s="10" t="str">
        <x:v>SRC-INTERNAL-DEMO-20260726</x:v>
      </x:c>
    </x:row>
    <x:row r="64" ht="24" hidden="0" customHeight="1">
      <x:c r="A64" s="9" t="str">
        <x:v>ATTRVAL-VAR-NOMAD-209-ET25-6X1397-WEIGHT-KG</x:v>
      </x:c>
      <x:c r="B64" s="9" t="str">
        <x:v>variant</x:v>
      </x:c>
      <x:c r="C64" s="9" t="str">
        <x:v>BIZON-WHEEL-VAR-NOMAD-209-ET25-6X1397</x:v>
      </x:c>
      <x:c r="D64" s="9" t="str">
        <x:v>weight_kg</x:v>
      </x:c>
      <x:c r="E64" s="9"/>
      <x:c r="F64" s="31" t="n">
        <x:v>13.8</x:v>
      </x:c>
      <x:c r="G64" s="9"/>
      <x:c r="H64" s="9"/>
      <x:c r="I64" s="9" t="str">
        <x:v>kg</x:v>
      </x:c>
      <x:c r="J64" s="9" t="str">
        <x:v>published</x:v>
      </x:c>
      <x:c r="K64" s="9" t="str">
        <x:v>internal_demo</x:v>
      </x:c>
      <x:c r="L64" s="9" t="str">
        <x:v>SRC-INTERNAL-DEMO-20260726</x:v>
      </x:c>
    </x:row>
    <x:row r="65" ht="24" hidden="0" customHeight="1">
      <x:c r="A65" s="10" t="str">
        <x:v>ATTRVAL-VAR-NOMAD-209-ET25-6X1397-FINISH-TYPE</x:v>
      </x:c>
      <x:c r="B65" s="10" t="str">
        <x:v>variant</x:v>
      </x:c>
      <x:c r="C65" s="10" t="str">
        <x:v>BIZON-WHEEL-VAR-NOMAD-209-ET25-6X1397</x:v>
      </x:c>
      <x:c r="D65" s="10" t="str">
        <x:v>finish_type</x:v>
      </x:c>
      <x:c r="E65" s="10"/>
      <x:c r="F65" s="32"/>
      <x:c r="G65" s="10"/>
      <x:c r="H65" s="10" t="str">
        <x:v>bronze</x:v>
      </x:c>
      <x:c r="I65" s="10"/>
      <x:c r="J65" s="10" t="str">
        <x:v>published</x:v>
      </x:c>
      <x:c r="K65" s="10" t="str">
        <x:v>internal_demo</x:v>
      </x:c>
      <x:c r="L65" s="10" t="str">
        <x:v>SRC-INTERNAL-DEMO-20260726</x:v>
      </x:c>
    </x:row>
    <x:row r="66" ht="24" hidden="0" customHeight="1">
      <x:c r="A66" s="9" t="str">
        <x:v>ATTRVAL-VAR-NOMAD-209-ET25-6X1397-COLOR-KEY</x:v>
      </x:c>
      <x:c r="B66" s="9" t="str">
        <x:v>variant</x:v>
      </x:c>
      <x:c r="C66" s="9" t="str">
        <x:v>BIZON-WHEEL-VAR-NOMAD-209-ET25-6X1397</x:v>
      </x:c>
      <x:c r="D66" s="9" t="str">
        <x:v>color_key</x:v>
      </x:c>
      <x:c r="E66" s="9"/>
      <x:c r="F66" s="31"/>
      <x:c r="G66" s="9"/>
      <x:c r="H66" s="9" t="str">
        <x:v>bronze</x:v>
      </x:c>
      <x:c r="I66" s="9"/>
      <x:c r="J66" s="9" t="str">
        <x:v>published</x:v>
      </x:c>
      <x:c r="K66" s="9" t="str">
        <x:v>internal_demo</x:v>
      </x:c>
      <x:c r="L66" s="9" t="str">
        <x:v>SRC-INTERNAL-DEMO-20260726</x:v>
      </x:c>
    </x:row>
    <x:row r="67" ht="24" hidden="0" customHeight="1">
      <x:c r="A67" s="10" t="str">
        <x:v>ATTRVAL-VAR-EMBER-189-ET25-5X1143-BEADLOCK-TYPE</x:v>
      </x:c>
      <x:c r="B67" s="10" t="str">
        <x:v>variant</x:v>
      </x:c>
      <x:c r="C67" s="10" t="str">
        <x:v>BIZON-WHEEL-VAR-EMBER-189-ET25-5X1143</x:v>
      </x:c>
      <x:c r="D67" s="10" t="str">
        <x:v>beadlock_type</x:v>
      </x:c>
      <x:c r="E67" s="10"/>
      <x:c r="F67" s="32"/>
      <x:c r="G67" s="10"/>
      <x:c r="H67" s="10" t="str">
        <x:v>none</x:v>
      </x:c>
      <x:c r="I67" s="10"/>
      <x:c r="J67" s="10" t="str">
        <x:v>published</x:v>
      </x:c>
      <x:c r="K67" s="10" t="str">
        <x:v>internal_demo</x:v>
      </x:c>
      <x:c r="L67" s="10" t="str">
        <x:v>SRC-INTERNAL-DEMO-20260726</x:v>
      </x:c>
    </x:row>
    <x:row r="68" ht="24" hidden="0" customHeight="1">
      <x:c r="A68" s="9" t="str">
        <x:v>ATTRVAL-VAR-EMBER-189-ET25-5X1143-FACE-PROFILE</x:v>
      </x:c>
      <x:c r="B68" s="9" t="str">
        <x:v>variant</x:v>
      </x:c>
      <x:c r="C68" s="9" t="str">
        <x:v>BIZON-WHEEL-VAR-EMBER-189-ET25-5X1143</x:v>
      </x:c>
      <x:c r="D68" s="9" t="str">
        <x:v>face_profile</x:v>
      </x:c>
      <x:c r="E68" s="9"/>
      <x:c r="F68" s="31"/>
      <x:c r="G68" s="9"/>
      <x:c r="H68" s="9" t="str">
        <x:v>concave</x:v>
      </x:c>
      <x:c r="I68" s="9"/>
      <x:c r="J68" s="9" t="str">
        <x:v>published</x:v>
      </x:c>
      <x:c r="K68" s="9" t="str">
        <x:v>internal_demo</x:v>
      </x:c>
      <x:c r="L68" s="9" t="str">
        <x:v>SRC-INTERNAL-DEMO-20260726</x:v>
      </x:c>
    </x:row>
    <x:row r="69" ht="24" hidden="0" customHeight="1">
      <x:c r="A69" s="10" t="str">
        <x:v>ATTRVAL-VAR-EMBER-189-ET25-5X1143-WEIGHT-KG</x:v>
      </x:c>
      <x:c r="B69" s="10" t="str">
        <x:v>variant</x:v>
      </x:c>
      <x:c r="C69" s="10" t="str">
        <x:v>BIZON-WHEEL-VAR-EMBER-189-ET25-5X1143</x:v>
      </x:c>
      <x:c r="D69" s="10" t="str">
        <x:v>weight_kg</x:v>
      </x:c>
      <x:c r="E69" s="10"/>
      <x:c r="F69" s="32" t="n">
        <x:v>9.4</x:v>
      </x:c>
      <x:c r="G69" s="10"/>
      <x:c r="H69" s="10"/>
      <x:c r="I69" s="10" t="str">
        <x:v>kg</x:v>
      </x:c>
      <x:c r="J69" s="10" t="str">
        <x:v>published</x:v>
      </x:c>
      <x:c r="K69" s="10" t="str">
        <x:v>internal_demo</x:v>
      </x:c>
      <x:c r="L69" s="10" t="str">
        <x:v>SRC-INTERNAL-DEMO-20260726</x:v>
      </x:c>
    </x:row>
    <x:row r="70" ht="24" hidden="0" customHeight="1">
      <x:c r="A70" s="9" t="str">
        <x:v>ATTRVAL-VAR-EMBER-189-ET25-5X1143-FINISH-TYPE</x:v>
      </x:c>
      <x:c r="B70" s="9" t="str">
        <x:v>variant</x:v>
      </x:c>
      <x:c r="C70" s="9" t="str">
        <x:v>BIZON-WHEEL-VAR-EMBER-189-ET25-5X1143</x:v>
      </x:c>
      <x:c r="D70" s="9" t="str">
        <x:v>finish_type</x:v>
      </x:c>
      <x:c r="E70" s="9"/>
      <x:c r="F70" s="31"/>
      <x:c r="G70" s="9"/>
      <x:c r="H70" s="9" t="str">
        <x:v>red</x:v>
      </x:c>
      <x:c r="I70" s="9"/>
      <x:c r="J70" s="9" t="str">
        <x:v>published</x:v>
      </x:c>
      <x:c r="K70" s="9" t="str">
        <x:v>internal_demo</x:v>
      </x:c>
      <x:c r="L70" s="9" t="str">
        <x:v>SRC-INTERNAL-DEMO-20260726</x:v>
      </x:c>
    </x:row>
    <x:row r="71" ht="24" hidden="0" customHeight="1">
      <x:c r="A71" s="10" t="str">
        <x:v>ATTRVAL-VAR-EMBER-189-ET25-5X1143-COLOR-KEY</x:v>
      </x:c>
      <x:c r="B71" s="10" t="str">
        <x:v>variant</x:v>
      </x:c>
      <x:c r="C71" s="10" t="str">
        <x:v>BIZON-WHEEL-VAR-EMBER-189-ET25-5X1143</x:v>
      </x:c>
      <x:c r="D71" s="10" t="str">
        <x:v>color_key</x:v>
      </x:c>
      <x:c r="E71" s="10"/>
      <x:c r="F71" s="32"/>
      <x:c r="G71" s="10"/>
      <x:c r="H71" s="10" t="str">
        <x:v>red</x:v>
      </x:c>
      <x:c r="I71" s="10"/>
      <x:c r="J71" s="10" t="str">
        <x:v>published</x:v>
      </x:c>
      <x:c r="K71" s="10" t="str">
        <x:v>internal_demo</x:v>
      </x:c>
      <x:c r="L71" s="10" t="str">
        <x:v>SRC-INTERNAL-DEMO-20260726</x:v>
      </x:c>
    </x:row>
    <x:row r="72" ht="24" hidden="0" customHeight="1">
      <x:c r="A72" s="9" t="str">
        <x:v>ATTRVAL-VAR-EMBER-1810-ET38-5X1143-BEADLOCK-TYPE</x:v>
      </x:c>
      <x:c r="B72" s="9" t="str">
        <x:v>variant</x:v>
      </x:c>
      <x:c r="C72" s="9" t="str">
        <x:v>BIZON-WHEEL-VAR-EMBER-1810-ET38-5X1143</x:v>
      </x:c>
      <x:c r="D72" s="9" t="str">
        <x:v>beadlock_type</x:v>
      </x:c>
      <x:c r="E72" s="9"/>
      <x:c r="F72" s="31"/>
      <x:c r="G72" s="9"/>
      <x:c r="H72" s="9" t="str">
        <x:v>none</x:v>
      </x:c>
      <x:c r="I72" s="9"/>
      <x:c r="J72" s="9" t="str">
        <x:v>published</x:v>
      </x:c>
      <x:c r="K72" s="9" t="str">
        <x:v>internal_demo</x:v>
      </x:c>
      <x:c r="L72" s="9" t="str">
        <x:v>SRC-INTERNAL-DEMO-20260726</x:v>
      </x:c>
    </x:row>
    <x:row r="73" ht="24" hidden="0" customHeight="1">
      <x:c r="A73" s="10" t="str">
        <x:v>ATTRVAL-VAR-EMBER-1810-ET38-5X1143-FACE-PROFILE</x:v>
      </x:c>
      <x:c r="B73" s="10" t="str">
        <x:v>variant</x:v>
      </x:c>
      <x:c r="C73" s="10" t="str">
        <x:v>BIZON-WHEEL-VAR-EMBER-1810-ET38-5X1143</x:v>
      </x:c>
      <x:c r="D73" s="10" t="str">
        <x:v>face_profile</x:v>
      </x:c>
      <x:c r="E73" s="10"/>
      <x:c r="F73" s="32"/>
      <x:c r="G73" s="10"/>
      <x:c r="H73" s="10" t="str">
        <x:v>deep_concave</x:v>
      </x:c>
      <x:c r="I73" s="10"/>
      <x:c r="J73" s="10" t="str">
        <x:v>published</x:v>
      </x:c>
      <x:c r="K73" s="10" t="str">
        <x:v>internal_demo</x:v>
      </x:c>
      <x:c r="L73" s="10" t="str">
        <x:v>SRC-INTERNAL-DEMO-20260726</x:v>
      </x:c>
    </x:row>
    <x:row r="74" ht="24" hidden="0" customHeight="1">
      <x:c r="A74" s="9" t="str">
        <x:v>ATTRVAL-VAR-EMBER-1810-ET38-5X1143-WEIGHT-KG</x:v>
      </x:c>
      <x:c r="B74" s="9" t="str">
        <x:v>variant</x:v>
      </x:c>
      <x:c r="C74" s="9" t="str">
        <x:v>BIZON-WHEEL-VAR-EMBER-1810-ET38-5X1143</x:v>
      </x:c>
      <x:c r="D74" s="9" t="str">
        <x:v>weight_kg</x:v>
      </x:c>
      <x:c r="E74" s="9"/>
      <x:c r="F74" s="31" t="n">
        <x:v>11.2</x:v>
      </x:c>
      <x:c r="G74" s="9"/>
      <x:c r="H74" s="9"/>
      <x:c r="I74" s="9" t="str">
        <x:v>kg</x:v>
      </x:c>
      <x:c r="J74" s="9" t="str">
        <x:v>published</x:v>
      </x:c>
      <x:c r="K74" s="9" t="str">
        <x:v>internal_demo</x:v>
      </x:c>
      <x:c r="L74" s="9" t="str">
        <x:v>SRC-INTERNAL-DEMO-20260726</x:v>
      </x:c>
    </x:row>
    <x:row r="75" ht="24" hidden="0" customHeight="1">
      <x:c r="A75" s="10" t="str">
        <x:v>ATTRVAL-VAR-EMBER-1810-ET38-5X1143-FINISH-TYPE</x:v>
      </x:c>
      <x:c r="B75" s="10" t="str">
        <x:v>variant</x:v>
      </x:c>
      <x:c r="C75" s="10" t="str">
        <x:v>BIZON-WHEEL-VAR-EMBER-1810-ET38-5X1143</x:v>
      </x:c>
      <x:c r="D75" s="10" t="str">
        <x:v>finish_type</x:v>
      </x:c>
      <x:c r="E75" s="10"/>
      <x:c r="F75" s="32"/>
      <x:c r="G75" s="10"/>
      <x:c r="H75" s="10" t="str">
        <x:v>red</x:v>
      </x:c>
      <x:c r="I75" s="10"/>
      <x:c r="J75" s="10" t="str">
        <x:v>published</x:v>
      </x:c>
      <x:c r="K75" s="10" t="str">
        <x:v>internal_demo</x:v>
      </x:c>
      <x:c r="L75" s="10" t="str">
        <x:v>SRC-INTERNAL-DEMO-20260726</x:v>
      </x:c>
    </x:row>
    <x:row r="76" ht="24" hidden="0" customHeight="1">
      <x:c r="A76" s="9" t="str">
        <x:v>ATTRVAL-VAR-EMBER-1810-ET38-5X1143-COLOR-KEY</x:v>
      </x:c>
      <x:c r="B76" s="9" t="str">
        <x:v>variant</x:v>
      </x:c>
      <x:c r="C76" s="9" t="str">
        <x:v>BIZON-WHEEL-VAR-EMBER-1810-ET38-5X1143</x:v>
      </x:c>
      <x:c r="D76" s="9" t="str">
        <x:v>color_key</x:v>
      </x:c>
      <x:c r="E76" s="9"/>
      <x:c r="F76" s="31"/>
      <x:c r="G76" s="9"/>
      <x:c r="H76" s="9" t="str">
        <x:v>red</x:v>
      </x:c>
      <x:c r="I76" s="9"/>
      <x:c r="J76" s="9" t="str">
        <x:v>published</x:v>
      </x:c>
      <x:c r="K76" s="9" t="str">
        <x:v>internal_demo</x:v>
      </x:c>
      <x:c r="L76" s="9" t="str">
        <x:v>SRC-INTERNAL-DEMO-20260726</x:v>
      </x:c>
    </x:row>
    <x:row r="77" ht="24" hidden="0" customHeight="1">
      <x:c r="A77" s="10" t="str">
        <x:v>ATTRVAL-VAR-EMBER-1995-ET22-5X1143-BEADLOCK-TYPE</x:v>
      </x:c>
      <x:c r="B77" s="10" t="str">
        <x:v>variant</x:v>
      </x:c>
      <x:c r="C77" s="10" t="str">
        <x:v>BIZON-WHEEL-VAR-EMBER-1995-ET22-5X1143</x:v>
      </x:c>
      <x:c r="D77" s="10" t="str">
        <x:v>beadlock_type</x:v>
      </x:c>
      <x:c r="E77" s="10"/>
      <x:c r="F77" s="32"/>
      <x:c r="G77" s="10"/>
      <x:c r="H77" s="10" t="str">
        <x:v>none</x:v>
      </x:c>
      <x:c r="I77" s="10"/>
      <x:c r="J77" s="10" t="str">
        <x:v>published</x:v>
      </x:c>
      <x:c r="K77" s="10" t="str">
        <x:v>internal_demo</x:v>
      </x:c>
      <x:c r="L77" s="10" t="str">
        <x:v>SRC-INTERNAL-DEMO-20260726</x:v>
      </x:c>
    </x:row>
    <x:row r="78" ht="24" hidden="0" customHeight="1">
      <x:c r="A78" s="9" t="str">
        <x:v>ATTRVAL-VAR-EMBER-1995-ET22-5X1143-FACE-PROFILE</x:v>
      </x:c>
      <x:c r="B78" s="9" t="str">
        <x:v>variant</x:v>
      </x:c>
      <x:c r="C78" s="9" t="str">
        <x:v>BIZON-WHEEL-VAR-EMBER-1995-ET22-5X1143</x:v>
      </x:c>
      <x:c r="D78" s="9" t="str">
        <x:v>face_profile</x:v>
      </x:c>
      <x:c r="E78" s="9"/>
      <x:c r="F78" s="31"/>
      <x:c r="G78" s="9"/>
      <x:c r="H78" s="9" t="str">
        <x:v>concave</x:v>
      </x:c>
      <x:c r="I78" s="9"/>
      <x:c r="J78" s="9" t="str">
        <x:v>published</x:v>
      </x:c>
      <x:c r="K78" s="9" t="str">
        <x:v>internal_demo</x:v>
      </x:c>
      <x:c r="L78" s="9" t="str">
        <x:v>SRC-INTERNAL-DEMO-20260726</x:v>
      </x:c>
    </x:row>
    <x:row r="79" ht="24" hidden="0" customHeight="1">
      <x:c r="A79" s="10" t="str">
        <x:v>ATTRVAL-VAR-EMBER-1995-ET22-5X1143-WEIGHT-KG</x:v>
      </x:c>
      <x:c r="B79" s="10" t="str">
        <x:v>variant</x:v>
      </x:c>
      <x:c r="C79" s="10" t="str">
        <x:v>BIZON-WHEEL-VAR-EMBER-1995-ET22-5X1143</x:v>
      </x:c>
      <x:c r="D79" s="10" t="str">
        <x:v>weight_kg</x:v>
      </x:c>
      <x:c r="E79" s="10"/>
      <x:c r="F79" s="32" t="n">
        <x:v>10.1</x:v>
      </x:c>
      <x:c r="G79" s="10"/>
      <x:c r="H79" s="10"/>
      <x:c r="I79" s="10" t="str">
        <x:v>kg</x:v>
      </x:c>
      <x:c r="J79" s="10" t="str">
        <x:v>published</x:v>
      </x:c>
      <x:c r="K79" s="10" t="str">
        <x:v>internal_demo</x:v>
      </x:c>
      <x:c r="L79" s="10" t="str">
        <x:v>SRC-INTERNAL-DEMO-20260726</x:v>
      </x:c>
    </x:row>
    <x:row r="80" ht="24" hidden="0" customHeight="1">
      <x:c r="A80" s="9" t="str">
        <x:v>ATTRVAL-VAR-EMBER-1995-ET22-5X1143-FINISH-TYPE</x:v>
      </x:c>
      <x:c r="B80" s="9" t="str">
        <x:v>variant</x:v>
      </x:c>
      <x:c r="C80" s="9" t="str">
        <x:v>BIZON-WHEEL-VAR-EMBER-1995-ET22-5X1143</x:v>
      </x:c>
      <x:c r="D80" s="9" t="str">
        <x:v>finish_type</x:v>
      </x:c>
      <x:c r="E80" s="9"/>
      <x:c r="F80" s="31"/>
      <x:c r="G80" s="9"/>
      <x:c r="H80" s="9" t="str">
        <x:v>red</x:v>
      </x:c>
      <x:c r="I80" s="9"/>
      <x:c r="J80" s="9" t="str">
        <x:v>published</x:v>
      </x:c>
      <x:c r="K80" s="9" t="str">
        <x:v>internal_demo</x:v>
      </x:c>
      <x:c r="L80" s="9" t="str">
        <x:v>SRC-INTERNAL-DEMO-20260726</x:v>
      </x:c>
    </x:row>
    <x:row r="81" ht="24" hidden="0" customHeight="1">
      <x:c r="A81" s="10" t="str">
        <x:v>ATTRVAL-VAR-EMBER-1995-ET22-5X1143-COLOR-KEY</x:v>
      </x:c>
      <x:c r="B81" s="10" t="str">
        <x:v>variant</x:v>
      </x:c>
      <x:c r="C81" s="10" t="str">
        <x:v>BIZON-WHEEL-VAR-EMBER-1995-ET22-5X1143</x:v>
      </x:c>
      <x:c r="D81" s="10" t="str">
        <x:v>color_key</x:v>
      </x:c>
      <x:c r="E81" s="10"/>
      <x:c r="F81" s="32"/>
      <x:c r="G81" s="10"/>
      <x:c r="H81" s="10" t="str">
        <x:v>red</x:v>
      </x:c>
      <x:c r="I81" s="10"/>
      <x:c r="J81" s="10" t="str">
        <x:v>published</x:v>
      </x:c>
      <x:c r="K81" s="10" t="str">
        <x:v>internal_demo</x:v>
      </x:c>
      <x:c r="L81" s="10" t="str">
        <x:v>SRC-INTERNAL-DEMO-20260726</x:v>
      </x:c>
    </x:row>
    <x:row r="82" ht="24" hidden="0" customHeight="1">
      <x:c r="A82" s="9" t="str">
        <x:v>ATTRVAL-VAR-EMBER-19105-ET35-5X1143-BEADLOCK-TYPE</x:v>
      </x:c>
      <x:c r="B82" s="9" t="str">
        <x:v>variant</x:v>
      </x:c>
      <x:c r="C82" s="9" t="str">
        <x:v>BIZON-WHEEL-VAR-EMBER-19105-ET35-5X1143</x:v>
      </x:c>
      <x:c r="D82" s="9" t="str">
        <x:v>beadlock_type</x:v>
      </x:c>
      <x:c r="E82" s="9"/>
      <x:c r="F82" s="31"/>
      <x:c r="G82" s="9"/>
      <x:c r="H82" s="9" t="str">
        <x:v>none</x:v>
      </x:c>
      <x:c r="I82" s="9"/>
      <x:c r="J82" s="9" t="str">
        <x:v>published</x:v>
      </x:c>
      <x:c r="K82" s="9" t="str">
        <x:v>internal_demo</x:v>
      </x:c>
      <x:c r="L82" s="9" t="str">
        <x:v>SRC-INTERNAL-DEMO-20260726</x:v>
      </x:c>
    </x:row>
    <x:row r="83" ht="24" hidden="0" customHeight="1">
      <x:c r="A83" s="10" t="str">
        <x:v>ATTRVAL-VAR-EMBER-19105-ET35-5X1143-FACE-PROFILE</x:v>
      </x:c>
      <x:c r="B83" s="10" t="str">
        <x:v>variant</x:v>
      </x:c>
      <x:c r="C83" s="10" t="str">
        <x:v>BIZON-WHEEL-VAR-EMBER-19105-ET35-5X1143</x:v>
      </x:c>
      <x:c r="D83" s="10" t="str">
        <x:v>face_profile</x:v>
      </x:c>
      <x:c r="E83" s="10"/>
      <x:c r="F83" s="32"/>
      <x:c r="G83" s="10"/>
      <x:c r="H83" s="10" t="str">
        <x:v>deep_concave</x:v>
      </x:c>
      <x:c r="I83" s="10"/>
      <x:c r="J83" s="10" t="str">
        <x:v>published</x:v>
      </x:c>
      <x:c r="K83" s="10" t="str">
        <x:v>internal_demo</x:v>
      </x:c>
      <x:c r="L83" s="10" t="str">
        <x:v>SRC-INTERNAL-DEMO-20260726</x:v>
      </x:c>
    </x:row>
    <x:row r="84" ht="24" hidden="0" customHeight="1">
      <x:c r="A84" s="9" t="str">
        <x:v>ATTRVAL-VAR-EMBER-19105-ET35-5X1143-WEIGHT-KG</x:v>
      </x:c>
      <x:c r="B84" s="9" t="str">
        <x:v>variant</x:v>
      </x:c>
      <x:c r="C84" s="9" t="str">
        <x:v>BIZON-WHEEL-VAR-EMBER-19105-ET35-5X1143</x:v>
      </x:c>
      <x:c r="D84" s="9" t="str">
        <x:v>weight_kg</x:v>
      </x:c>
      <x:c r="E84" s="9"/>
      <x:c r="F84" s="31" t="n">
        <x:v>12.8</x:v>
      </x:c>
      <x:c r="G84" s="9"/>
      <x:c r="H84" s="9"/>
      <x:c r="I84" s="9" t="str">
        <x:v>kg</x:v>
      </x:c>
      <x:c r="J84" s="9" t="str">
        <x:v>published</x:v>
      </x:c>
      <x:c r="K84" s="9" t="str">
        <x:v>internal_demo</x:v>
      </x:c>
      <x:c r="L84" s="9" t="str">
        <x:v>SRC-INTERNAL-DEMO-20260726</x:v>
      </x:c>
    </x:row>
    <x:row r="85" ht="24" hidden="0" customHeight="1">
      <x:c r="A85" s="10" t="str">
        <x:v>ATTRVAL-VAR-EMBER-19105-ET35-5X1143-FINISH-TYPE</x:v>
      </x:c>
      <x:c r="B85" s="10" t="str">
        <x:v>variant</x:v>
      </x:c>
      <x:c r="C85" s="10" t="str">
        <x:v>BIZON-WHEEL-VAR-EMBER-19105-ET35-5X1143</x:v>
      </x:c>
      <x:c r="D85" s="10" t="str">
        <x:v>finish_type</x:v>
      </x:c>
      <x:c r="E85" s="10"/>
      <x:c r="F85" s="32"/>
      <x:c r="G85" s="10"/>
      <x:c r="H85" s="10" t="str">
        <x:v>red</x:v>
      </x:c>
      <x:c r="I85" s="10"/>
      <x:c r="J85" s="10" t="str">
        <x:v>published</x:v>
      </x:c>
      <x:c r="K85" s="10" t="str">
        <x:v>internal_demo</x:v>
      </x:c>
      <x:c r="L85" s="10" t="str">
        <x:v>SRC-INTERNAL-DEMO-20260726</x:v>
      </x:c>
    </x:row>
    <x:row r="86" ht="24" hidden="0" customHeight="1">
      <x:c r="A86" s="9" t="str">
        <x:v>ATTRVAL-VAR-EMBER-19105-ET35-5X1143-COLOR-KEY</x:v>
      </x:c>
      <x:c r="B86" s="9" t="str">
        <x:v>variant</x:v>
      </x:c>
      <x:c r="C86" s="9" t="str">
        <x:v>BIZON-WHEEL-VAR-EMBER-19105-ET35-5X1143</x:v>
      </x:c>
      <x:c r="D86" s="9" t="str">
        <x:v>color_key</x:v>
      </x:c>
      <x:c r="E86" s="9"/>
      <x:c r="F86" s="31"/>
      <x:c r="G86" s="9"/>
      <x:c r="H86" s="9" t="str">
        <x:v>red</x:v>
      </x:c>
      <x:c r="I86" s="9"/>
      <x:c r="J86" s="9" t="str">
        <x:v>published</x:v>
      </x:c>
      <x:c r="K86" s="9" t="str">
        <x:v>internal_demo</x:v>
      </x:c>
      <x:c r="L86" s="9" t="str">
        <x:v>SRC-INTERNAL-DEMO-20260726</x:v>
      </x:c>
    </x:row>
    <x:row r="87" ht="24" hidden="0" customHeight="1">
      <x:c r="A87" s="10" t="str">
        <x:v>ATTRVAL-VAR-BASTION-179-ETM12-5X127-BEADLOCK-TYPE</x:v>
      </x:c>
      <x:c r="B87" s="10" t="str">
        <x:v>variant</x:v>
      </x:c>
      <x:c r="C87" s="10" t="str">
        <x:v>BIZON-WHEEL-VAR-BASTION-179-ETM12-5X127</x:v>
      </x:c>
      <x:c r="D87" s="10" t="str">
        <x:v>beadlock_type</x:v>
      </x:c>
      <x:c r="E87" s="10"/>
      <x:c r="F87" s="32"/>
      <x:c r="G87" s="10"/>
      <x:c r="H87" s="10" t="str">
        <x:v>functional</x:v>
      </x:c>
      <x:c r="I87" s="10"/>
      <x:c r="J87" s="10" t="str">
        <x:v>published</x:v>
      </x:c>
      <x:c r="K87" s="10" t="str">
        <x:v>internal_demo</x:v>
      </x:c>
      <x:c r="L87" s="10" t="str">
        <x:v>SRC-INTERNAL-DEMO-20260726</x:v>
      </x:c>
    </x:row>
    <x:row r="88" ht="24" hidden="0" customHeight="1">
      <x:c r="A88" s="9" t="str">
        <x:v>ATTRVAL-VAR-BASTION-179-ETM12-5X127-FACE-PROFILE</x:v>
      </x:c>
      <x:c r="B88" s="9" t="str">
        <x:v>variant</x:v>
      </x:c>
      <x:c r="C88" s="9" t="str">
        <x:v>BIZON-WHEEL-VAR-BASTION-179-ETM12-5X127</x:v>
      </x:c>
      <x:c r="D88" s="9" t="str">
        <x:v>face_profile</x:v>
      </x:c>
      <x:c r="E88" s="9"/>
      <x:c r="F88" s="31"/>
      <x:c r="G88" s="9"/>
      <x:c r="H88" s="9" t="str">
        <x:v>deep_concave</x:v>
      </x:c>
      <x:c r="I88" s="9"/>
      <x:c r="J88" s="9" t="str">
        <x:v>published</x:v>
      </x:c>
      <x:c r="K88" s="9" t="str">
        <x:v>internal_demo</x:v>
      </x:c>
      <x:c r="L88" s="9" t="str">
        <x:v>SRC-INTERNAL-DEMO-20260726</x:v>
      </x:c>
    </x:row>
    <x:row r="89" ht="24" hidden="0" customHeight="1">
      <x:c r="A89" s="10" t="str">
        <x:v>ATTRVAL-VAR-BASTION-179-ETM12-5X127-WEIGHT-KG</x:v>
      </x:c>
      <x:c r="B89" s="10" t="str">
        <x:v>variant</x:v>
      </x:c>
      <x:c r="C89" s="10" t="str">
        <x:v>BIZON-WHEEL-VAR-BASTION-179-ETM12-5X127</x:v>
      </x:c>
      <x:c r="D89" s="10" t="str">
        <x:v>weight_kg</x:v>
      </x:c>
      <x:c r="E89" s="10"/>
      <x:c r="F89" s="32" t="n">
        <x:v>12.3</x:v>
      </x:c>
      <x:c r="G89" s="10"/>
      <x:c r="H89" s="10"/>
      <x:c r="I89" s="10" t="str">
        <x:v>kg</x:v>
      </x:c>
      <x:c r="J89" s="10" t="str">
        <x:v>published</x:v>
      </x:c>
      <x:c r="K89" s="10" t="str">
        <x:v>internal_demo</x:v>
      </x:c>
      <x:c r="L89" s="10" t="str">
        <x:v>SRC-INTERNAL-DEMO-20260726</x:v>
      </x:c>
    </x:row>
    <x:row r="90" ht="24" hidden="0" customHeight="1">
      <x:c r="A90" s="9" t="str">
        <x:v>ATTRVAL-VAR-BASTION-179-ETM12-5X127-FINISH-TYPE</x:v>
      </x:c>
      <x:c r="B90" s="9" t="str">
        <x:v>variant</x:v>
      </x:c>
      <x:c r="C90" s="9" t="str">
        <x:v>BIZON-WHEEL-VAR-BASTION-179-ETM12-5X127</x:v>
      </x:c>
      <x:c r="D90" s="9" t="str">
        <x:v>finish_type</x:v>
      </x:c>
      <x:c r="E90" s="9"/>
      <x:c r="F90" s="31"/>
      <x:c r="G90" s="9"/>
      <x:c r="H90" s="9" t="str">
        <x:v>dark_graphite</x:v>
      </x:c>
      <x:c r="I90" s="9"/>
      <x:c r="J90" s="9" t="str">
        <x:v>published</x:v>
      </x:c>
      <x:c r="K90" s="9" t="str">
        <x:v>internal_demo</x:v>
      </x:c>
      <x:c r="L90" s="9" t="str">
        <x:v>SRC-INTERNAL-DEMO-20260726</x:v>
      </x:c>
    </x:row>
    <x:row r="91" ht="24" hidden="0" customHeight="1">
      <x:c r="A91" s="10" t="str">
        <x:v>ATTRVAL-VAR-BASTION-179-ETM12-5X127-COLOR-KEY</x:v>
      </x:c>
      <x:c r="B91" s="10" t="str">
        <x:v>variant</x:v>
      </x:c>
      <x:c r="C91" s="10" t="str">
        <x:v>BIZON-WHEEL-VAR-BASTION-179-ETM12-5X127</x:v>
      </x:c>
      <x:c r="D91" s="10" t="str">
        <x:v>color_key</x:v>
      </x:c>
      <x:c r="E91" s="10"/>
      <x:c r="F91" s="32"/>
      <x:c r="G91" s="10"/>
      <x:c r="H91" s="10" t="str">
        <x:v>graphite</x:v>
      </x:c>
      <x:c r="I91" s="10"/>
      <x:c r="J91" s="10" t="str">
        <x:v>published</x:v>
      </x:c>
      <x:c r="K91" s="10" t="str">
        <x:v>internal_demo</x:v>
      </x:c>
      <x:c r="L91" s="10" t="str">
        <x:v>SRC-INTERNAL-DEMO-20260726</x:v>
      </x:c>
    </x:row>
    <x:row r="92" ht="24" hidden="0" customHeight="1">
      <x:c r="A92" s="9" t="str">
        <x:v>ATTRVAL-VAR-BASTION-189-ET0-6X1397-BEADLOCK-TYPE</x:v>
      </x:c>
      <x:c r="B92" s="9" t="str">
        <x:v>variant</x:v>
      </x:c>
      <x:c r="C92" s="9" t="str">
        <x:v>BIZON-WHEEL-VAR-BASTION-189-ET0-6X1397</x:v>
      </x:c>
      <x:c r="D92" s="9" t="str">
        <x:v>beadlock_type</x:v>
      </x:c>
      <x:c r="E92" s="9"/>
      <x:c r="F92" s="31"/>
      <x:c r="G92" s="9"/>
      <x:c r="H92" s="9" t="str">
        <x:v>functional</x:v>
      </x:c>
      <x:c r="I92" s="9"/>
      <x:c r="J92" s="9" t="str">
        <x:v>published</x:v>
      </x:c>
      <x:c r="K92" s="9" t="str">
        <x:v>internal_demo</x:v>
      </x:c>
      <x:c r="L92" s="9" t="str">
        <x:v>SRC-INTERNAL-DEMO-20260726</x:v>
      </x:c>
    </x:row>
    <x:row r="93" ht="24" hidden="0" customHeight="1">
      <x:c r="A93" s="10" t="str">
        <x:v>ATTRVAL-VAR-BASTION-189-ET0-6X1397-FACE-PROFILE</x:v>
      </x:c>
      <x:c r="B93" s="10" t="str">
        <x:v>variant</x:v>
      </x:c>
      <x:c r="C93" s="10" t="str">
        <x:v>BIZON-WHEEL-VAR-BASTION-189-ET0-6X1397</x:v>
      </x:c>
      <x:c r="D93" s="10" t="str">
        <x:v>face_profile</x:v>
      </x:c>
      <x:c r="E93" s="10"/>
      <x:c r="F93" s="32"/>
      <x:c r="G93" s="10"/>
      <x:c r="H93" s="10" t="str">
        <x:v>deep_concave</x:v>
      </x:c>
      <x:c r="I93" s="10"/>
      <x:c r="J93" s="10" t="str">
        <x:v>published</x:v>
      </x:c>
      <x:c r="K93" s="10" t="str">
        <x:v>internal_demo</x:v>
      </x:c>
      <x:c r="L93" s="10" t="str">
        <x:v>SRC-INTERNAL-DEMO-20260726</x:v>
      </x:c>
    </x:row>
    <x:row r="94" ht="24" hidden="0" customHeight="1">
      <x:c r="A94" s="9" t="str">
        <x:v>ATTRVAL-VAR-BASTION-189-ET0-6X1397-WEIGHT-KG</x:v>
      </x:c>
      <x:c r="B94" s="9" t="str">
        <x:v>variant</x:v>
      </x:c>
      <x:c r="C94" s="9" t="str">
        <x:v>BIZON-WHEEL-VAR-BASTION-189-ET0-6X1397</x:v>
      </x:c>
      <x:c r="D94" s="9" t="str">
        <x:v>weight_kg</x:v>
      </x:c>
      <x:c r="E94" s="9"/>
      <x:c r="F94" s="31" t="n">
        <x:v>13.2</x:v>
      </x:c>
      <x:c r="G94" s="9"/>
      <x:c r="H94" s="9"/>
      <x:c r="I94" s="9" t="str">
        <x:v>kg</x:v>
      </x:c>
      <x:c r="J94" s="9" t="str">
        <x:v>published</x:v>
      </x:c>
      <x:c r="K94" s="9" t="str">
        <x:v>internal_demo</x:v>
      </x:c>
      <x:c r="L94" s="9" t="str">
        <x:v>SRC-INTERNAL-DEMO-20260726</x:v>
      </x:c>
    </x:row>
    <x:row r="95" ht="24" hidden="0" customHeight="1">
      <x:c r="A95" s="10" t="str">
        <x:v>ATTRVAL-VAR-BASTION-189-ET0-6X1397-FINISH-TYPE</x:v>
      </x:c>
      <x:c r="B95" s="10" t="str">
        <x:v>variant</x:v>
      </x:c>
      <x:c r="C95" s="10" t="str">
        <x:v>BIZON-WHEEL-VAR-BASTION-189-ET0-6X1397</x:v>
      </x:c>
      <x:c r="D95" s="10" t="str">
        <x:v>finish_type</x:v>
      </x:c>
      <x:c r="E95" s="10"/>
      <x:c r="F95" s="32"/>
      <x:c r="G95" s="10"/>
      <x:c r="H95" s="10" t="str">
        <x:v>dark_graphite</x:v>
      </x:c>
      <x:c r="I95" s="10"/>
      <x:c r="J95" s="10" t="str">
        <x:v>published</x:v>
      </x:c>
      <x:c r="K95" s="10" t="str">
        <x:v>internal_demo</x:v>
      </x:c>
      <x:c r="L95" s="10" t="str">
        <x:v>SRC-INTERNAL-DEMO-20260726</x:v>
      </x:c>
    </x:row>
    <x:row r="96" ht="24" hidden="0" customHeight="1">
      <x:c r="A96" s="9" t="str">
        <x:v>ATTRVAL-VAR-BASTION-189-ET0-6X1397-COLOR-KEY</x:v>
      </x:c>
      <x:c r="B96" s="9" t="str">
        <x:v>variant</x:v>
      </x:c>
      <x:c r="C96" s="9" t="str">
        <x:v>BIZON-WHEEL-VAR-BASTION-189-ET0-6X1397</x:v>
      </x:c>
      <x:c r="D96" s="9" t="str">
        <x:v>color_key</x:v>
      </x:c>
      <x:c r="E96" s="9"/>
      <x:c r="F96" s="31"/>
      <x:c r="G96" s="9"/>
      <x:c r="H96" s="9" t="str">
        <x:v>graphite</x:v>
      </x:c>
      <x:c r="I96" s="9"/>
      <x:c r="J96" s="9" t="str">
        <x:v>published</x:v>
      </x:c>
      <x:c r="K96" s="9" t="str">
        <x:v>internal_demo</x:v>
      </x:c>
      <x:c r="L96" s="9" t="str">
        <x:v>SRC-INTERNAL-DEMO-20260726</x:v>
      </x:c>
    </x:row>
    <x:row r="97" ht="24" hidden="0" customHeight="1">
      <x:c r="A97" s="10" t="str">
        <x:v>ATTRVAL-VAR-BASTION-2010-ETM18-6X1397-BEADLOCK-TYPE</x:v>
      </x:c>
      <x:c r="B97" s="10" t="str">
        <x:v>variant</x:v>
      </x:c>
      <x:c r="C97" s="10" t="str">
        <x:v>BIZON-WHEEL-VAR-BASTION-2010-ETM18-6X1397</x:v>
      </x:c>
      <x:c r="D97" s="10" t="str">
        <x:v>beadlock_type</x:v>
      </x:c>
      <x:c r="E97" s="10"/>
      <x:c r="F97" s="32"/>
      <x:c r="G97" s="10"/>
      <x:c r="H97" s="10" t="str">
        <x:v>functional</x:v>
      </x:c>
      <x:c r="I97" s="10"/>
      <x:c r="J97" s="10" t="str">
        <x:v>published</x:v>
      </x:c>
      <x:c r="K97" s="10" t="str">
        <x:v>internal_demo</x:v>
      </x:c>
      <x:c r="L97" s="10" t="str">
        <x:v>SRC-INTERNAL-DEMO-20260726</x:v>
      </x:c>
    </x:row>
    <x:row r="98" ht="24" hidden="0" customHeight="1">
      <x:c r="A98" s="9" t="str">
        <x:v>ATTRVAL-VAR-BASTION-2010-ETM18-6X1397-FACE-PROFILE</x:v>
      </x:c>
      <x:c r="B98" s="9" t="str">
        <x:v>variant</x:v>
      </x:c>
      <x:c r="C98" s="9" t="str">
        <x:v>BIZON-WHEEL-VAR-BASTION-2010-ETM18-6X1397</x:v>
      </x:c>
      <x:c r="D98" s="9" t="str">
        <x:v>face_profile</x:v>
      </x:c>
      <x:c r="E98" s="9"/>
      <x:c r="F98" s="31"/>
      <x:c r="G98" s="9"/>
      <x:c r="H98" s="9" t="str">
        <x:v>deep_concave</x:v>
      </x:c>
      <x:c r="I98" s="9"/>
      <x:c r="J98" s="9" t="str">
        <x:v>published</x:v>
      </x:c>
      <x:c r="K98" s="9" t="str">
        <x:v>internal_demo</x:v>
      </x:c>
      <x:c r="L98" s="9" t="str">
        <x:v>SRC-INTERNAL-DEMO-20260726</x:v>
      </x:c>
    </x:row>
    <x:row r="99" ht="24" hidden="0" customHeight="1">
      <x:c r="A99" s="10" t="str">
        <x:v>ATTRVAL-VAR-BASTION-2010-ETM18-6X1397-WEIGHT-KG</x:v>
      </x:c>
      <x:c r="B99" s="10" t="str">
        <x:v>variant</x:v>
      </x:c>
      <x:c r="C99" s="10" t="str">
        <x:v>BIZON-WHEEL-VAR-BASTION-2010-ETM18-6X1397</x:v>
      </x:c>
      <x:c r="D99" s="10" t="str">
        <x:v>weight_kg</x:v>
      </x:c>
      <x:c r="E99" s="10"/>
      <x:c r="F99" s="32" t="n">
        <x:v>16.4</x:v>
      </x:c>
      <x:c r="G99" s="10"/>
      <x:c r="H99" s="10"/>
      <x:c r="I99" s="10" t="str">
        <x:v>kg</x:v>
      </x:c>
      <x:c r="J99" s="10" t="str">
        <x:v>published</x:v>
      </x:c>
      <x:c r="K99" s="10" t="str">
        <x:v>internal_demo</x:v>
      </x:c>
      <x:c r="L99" s="10" t="str">
        <x:v>SRC-INTERNAL-DEMO-20260726</x:v>
      </x:c>
    </x:row>
    <x:row r="100" ht="24" hidden="0" customHeight="1">
      <x:c r="A100" s="9" t="str">
        <x:v>ATTRVAL-VAR-BASTION-2010-ETM18-6X1397-FINISH-TYPE</x:v>
      </x:c>
      <x:c r="B100" s="9" t="str">
        <x:v>variant</x:v>
      </x:c>
      <x:c r="C100" s="9" t="str">
        <x:v>BIZON-WHEEL-VAR-BASTION-2010-ETM18-6X1397</x:v>
      </x:c>
      <x:c r="D100" s="9" t="str">
        <x:v>finish_type</x:v>
      </x:c>
      <x:c r="E100" s="9"/>
      <x:c r="F100" s="31"/>
      <x:c r="G100" s="9"/>
      <x:c r="H100" s="9" t="str">
        <x:v>satin_black</x:v>
      </x:c>
      <x:c r="I100" s="9"/>
      <x:c r="J100" s="9" t="str">
        <x:v>published</x:v>
      </x:c>
      <x:c r="K100" s="9" t="str">
        <x:v>internal_demo</x:v>
      </x:c>
      <x:c r="L100" s="9" t="str">
        <x:v>SRC-INTERNAL-DEMO-20260726</x:v>
      </x:c>
    </x:row>
    <x:row r="101" ht="24" hidden="0" customHeight="1">
      <x:c r="A101" s="10" t="str">
        <x:v>ATTRVAL-VAR-BASTION-2010-ETM18-6X1397-COLOR-KEY</x:v>
      </x:c>
      <x:c r="B101" s="10" t="str">
        <x:v>variant</x:v>
      </x:c>
      <x:c r="C101" s="10" t="str">
        <x:v>BIZON-WHEEL-VAR-BASTION-2010-ETM18-6X1397</x:v>
      </x:c>
      <x:c r="D101" s="10" t="str">
        <x:v>color_key</x:v>
      </x:c>
      <x:c r="E101" s="10"/>
      <x:c r="F101" s="32"/>
      <x:c r="G101" s="10"/>
      <x:c r="H101" s="10" t="str">
        <x:v>black</x:v>
      </x:c>
      <x:c r="I101" s="10"/>
      <x:c r="J101" s="10" t="str">
        <x:v>published</x:v>
      </x:c>
      <x:c r="K101" s="10" t="str">
        <x:v>internal_demo</x:v>
      </x:c>
      <x:c r="L101" s="10" t="str">
        <x:v>SRC-INTERNAL-DEMO-20260726</x:v>
      </x:c>
    </x:row>
    <x:row r="102" ht="24" hidden="0" customHeight="1">
      <x:c r="A102" s="9" t="str">
        <x:v>ATTRVAL-MODEL-ATLAS-MATERIAL-GRADE</x:v>
      </x:c>
      <x:c r="B102" s="9" t="str">
        <x:v>model</x:v>
      </x:c>
      <x:c r="C102" s="9" t="str">
        <x:v>BIZON-WHEEL-MODEL-ATLAS</x:v>
      </x:c>
      <x:c r="D102" s="9" t="str">
        <x:v>material_grade</x:v>
      </x:c>
      <x:c r="E102" s="9" t="str">
        <x:v>Forged 6061-T6 aluminium</x:v>
      </x:c>
      <x:c r="F102" s="31"/>
      <x:c r="G102" s="9"/>
      <x:c r="H102" s="9"/>
      <x:c r="I102" s="9"/>
      <x:c r="J102" s="9" t="str">
        <x:v>published</x:v>
      </x:c>
      <x:c r="K102" s="9" t="str">
        <x:v>internal_demo</x:v>
      </x:c>
      <x:c r="L102" s="9" t="str">
        <x:v>SRC-INTERNAL-DEMO-20260726</x:v>
      </x:c>
    </x:row>
    <x:row r="103" ht="24" hidden="0" customHeight="1">
      <x:c r="A103" s="10" t="str">
        <x:v>ATTRVAL-MODEL-ATLAS-SPOKE-COUNT</x:v>
      </x:c>
      <x:c r="B103" s="10" t="str">
        <x:v>model</x:v>
      </x:c>
      <x:c r="C103" s="10" t="str">
        <x:v>BIZON-WHEEL-MODEL-ATLAS</x:v>
      </x:c>
      <x:c r="D103" s="10" t="str">
        <x:v>spoke_count</x:v>
      </x:c>
      <x:c r="E103" s="10"/>
      <x:c r="F103" s="32" t="n">
        <x:v>8</x:v>
      </x:c>
      <x:c r="G103" s="10"/>
      <x:c r="H103" s="10"/>
      <x:c r="I103" s="10"/>
      <x:c r="J103" s="10" t="str">
        <x:v>published</x:v>
      </x:c>
      <x:c r="K103" s="10" t="str">
        <x:v>internal_demo</x:v>
      </x:c>
      <x:c r="L103" s="10" t="str">
        <x:v>SRC-INTERNAL-DEMO-20260726</x:v>
      </x:c>
    </x:row>
    <x:row r="104" ht="15" hidden="0" customHeight="1">
      <x:c r="A104" s="9" t="str">
        <x:v>ATTRVAL-MODEL-ATLAS-LIP-STYLE</x:v>
      </x:c>
      <x:c r="B104" s="9" t="str">
        <x:v>model</x:v>
      </x:c>
      <x:c r="C104" s="9" t="str">
        <x:v>BIZON-WHEEL-MODEL-ATLAS</x:v>
      </x:c>
      <x:c r="D104" s="9" t="str">
        <x:v>lip_style</x:v>
      </x:c>
      <x:c r="E104" s="9"/>
      <x:c r="F104" s="31"/>
      <x:c r="G104" s="9"/>
      <x:c r="H104" s="9" t="str">
        <x:v>stepped</x:v>
      </x:c>
      <x:c r="I104" s="9"/>
      <x:c r="J104" s="9" t="str">
        <x:v>published</x:v>
      </x:c>
      <x:c r="K104" s="9" t="str">
        <x:v>internal_demo</x:v>
      </x:c>
      <x:c r="L104" s="9" t="str">
        <x:v>SRC-INTERNAL-DEMO-20260726</x:v>
      </x:c>
    </x:row>
    <x:row r="105" ht="24" hidden="0" customHeight="1">
      <x:c r="A105" s="10" t="str">
        <x:v>ATTRVAL-MODEL-ATLAS-CERTIFICATION</x:v>
      </x:c>
      <x:c r="B105" s="10" t="str">
        <x:v>model</x:v>
      </x:c>
      <x:c r="C105" s="10" t="str">
        <x:v>BIZON-WHEEL-MODEL-ATLAS</x:v>
      </x:c>
      <x:c r="D105" s="10" t="str">
        <x:v>certification</x:v>
      </x:c>
      <x:c r="E105" s="10" t="str">
        <x:v>Internal demo specification</x:v>
      </x:c>
      <x:c r="F105" s="32"/>
      <x:c r="G105" s="10"/>
      <x:c r="H105" s="10"/>
      <x:c r="I105" s="10"/>
      <x:c r="J105" s="10" t="str">
        <x:v>published</x:v>
      </x:c>
      <x:c r="K105" s="10" t="str">
        <x:v>internal_demo</x:v>
      </x:c>
      <x:c r="L105" s="10" t="str">
        <x:v>SRC-INTERNAL-DEMO-20260726</x:v>
      </x:c>
    </x:row>
    <x:row r="106" ht="24" hidden="0" customHeight="1">
      <x:c r="A106" s="9" t="str">
        <x:v>ATTRVAL-MODEL-ATLAS-RECOMMENDED-USE</x:v>
      </x:c>
      <x:c r="B106" s="9" t="str">
        <x:v>model</x:v>
      </x:c>
      <x:c r="C106" s="9" t="str">
        <x:v>BIZON-WHEEL-MODEL-ATLAS</x:v>
      </x:c>
      <x:c r="D106" s="9" t="str">
        <x:v>recommended_use</x:v>
      </x:c>
      <x:c r="E106" s="9"/>
      <x:c r="F106" s="31"/>
      <x:c r="G106" s="9"/>
      <x:c r="H106" s="9" t="str">
        <x:v>offroad</x:v>
      </x:c>
      <x:c r="I106" s="9"/>
      <x:c r="J106" s="9" t="str">
        <x:v>published</x:v>
      </x:c>
      <x:c r="K106" s="9" t="str">
        <x:v>internal_demo</x:v>
      </x:c>
      <x:c r="L106" s="9" t="str">
        <x:v>SRC-INTERNAL-DEMO-20260726</x:v>
      </x:c>
    </x:row>
    <x:row r="107" ht="24" hidden="0" customHeight="1">
      <x:c r="A107" s="10" t="str">
        <x:v>ATTRVAL-MODEL-ATLAS-CUSTOMIZABLE</x:v>
      </x:c>
      <x:c r="B107" s="10" t="str">
        <x:v>model</x:v>
      </x:c>
      <x:c r="C107" s="10" t="str">
        <x:v>BIZON-WHEEL-MODEL-ATLAS</x:v>
      </x:c>
      <x:c r="D107" s="10" t="str">
        <x:v>customizable</x:v>
      </x:c>
      <x:c r="E107" s="10"/>
      <x:c r="F107" s="32"/>
      <x:c r="G107" s="17" t="b">
        <x:v>1</x:v>
      </x:c>
      <x:c r="H107" s="10"/>
      <x:c r="I107" s="10"/>
      <x:c r="J107" s="10" t="str">
        <x:v>published</x:v>
      </x:c>
      <x:c r="K107" s="10" t="str">
        <x:v>internal_demo</x:v>
      </x:c>
      <x:c r="L107" s="10" t="str">
        <x:v>SRC-INTERNAL-DEMO-20260726</x:v>
      </x:c>
    </x:row>
    <x:row r="108" ht="24" hidden="0" customHeight="1">
      <x:c r="A108" s="9" t="str">
        <x:v>ATTRVAL-MODEL-ATLAS-WARRANTY-MONTHS</x:v>
      </x:c>
      <x:c r="B108" s="9" t="str">
        <x:v>model</x:v>
      </x:c>
      <x:c r="C108" s="9" t="str">
        <x:v>BIZON-WHEEL-MODEL-ATLAS</x:v>
      </x:c>
      <x:c r="D108" s="9" t="str">
        <x:v>warranty_months</x:v>
      </x:c>
      <x:c r="E108" s="9"/>
      <x:c r="F108" s="31" t="n">
        <x:v>36</x:v>
      </x:c>
      <x:c r="G108" s="9"/>
      <x:c r="H108" s="9"/>
      <x:c r="I108" s="9" t="str">
        <x:v>month</x:v>
      </x:c>
      <x:c r="J108" s="9" t="str">
        <x:v>published</x:v>
      </x:c>
      <x:c r="K108" s="9" t="str">
        <x:v>internal_demo</x:v>
      </x:c>
      <x:c r="L108" s="9" t="str">
        <x:v>SRC-INTERNAL-DEMO-20260726</x:v>
      </x:c>
    </x:row>
    <x:row r="109" ht="24" hidden="0" customHeight="1">
      <x:c r="A109" s="10" t="str">
        <x:v>ATTRVAL-MODEL-VECTOR-MATERIAL-GRADE</x:v>
      </x:c>
      <x:c r="B109" s="10" t="str">
        <x:v>model</x:v>
      </x:c>
      <x:c r="C109" s="10" t="str">
        <x:v>BIZON-WHEEL-MODEL-VECTOR</x:v>
      </x:c>
      <x:c r="D109" s="10" t="str">
        <x:v>material_grade</x:v>
      </x:c>
      <x:c r="E109" s="10" t="str">
        <x:v>Forged 6061-T6 aluminium</x:v>
      </x:c>
      <x:c r="F109" s="32"/>
      <x:c r="G109" s="10"/>
      <x:c r="H109" s="10"/>
      <x:c r="I109" s="10"/>
      <x:c r="J109" s="10" t="str">
        <x:v>published</x:v>
      </x:c>
      <x:c r="K109" s="10" t="str">
        <x:v>internal_demo</x:v>
      </x:c>
      <x:c r="L109" s="10" t="str">
        <x:v>SRC-INTERNAL-DEMO-20260726</x:v>
      </x:c>
    </x:row>
    <x:row r="110" ht="24" hidden="0" customHeight="1">
      <x:c r="A110" s="9" t="str">
        <x:v>ATTRVAL-MODEL-VECTOR-SPOKE-COUNT</x:v>
      </x:c>
      <x:c r="B110" s="9" t="str">
        <x:v>model</x:v>
      </x:c>
      <x:c r="C110" s="9" t="str">
        <x:v>BIZON-WHEEL-MODEL-VECTOR</x:v>
      </x:c>
      <x:c r="D110" s="9" t="str">
        <x:v>spoke_count</x:v>
      </x:c>
      <x:c r="E110" s="9"/>
      <x:c r="F110" s="31" t="n">
        <x:v>10</x:v>
      </x:c>
      <x:c r="G110" s="9"/>
      <x:c r="H110" s="9"/>
      <x:c r="I110" s="9"/>
      <x:c r="J110" s="9" t="str">
        <x:v>published</x:v>
      </x:c>
      <x:c r="K110" s="9" t="str">
        <x:v>internal_demo</x:v>
      </x:c>
      <x:c r="L110" s="9" t="str">
        <x:v>SRC-INTERNAL-DEMO-20260726</x:v>
      </x:c>
    </x:row>
    <x:row r="111" ht="24" hidden="0" customHeight="1">
      <x:c r="A111" s="10" t="str">
        <x:v>ATTRVAL-MODEL-VECTOR-LIP-STYLE</x:v>
      </x:c>
      <x:c r="B111" s="10" t="str">
        <x:v>model</x:v>
      </x:c>
      <x:c r="C111" s="10" t="str">
        <x:v>BIZON-WHEEL-MODEL-VECTOR</x:v>
      </x:c>
      <x:c r="D111" s="10" t="str">
        <x:v>lip_style</x:v>
      </x:c>
      <x:c r="E111" s="10"/>
      <x:c r="F111" s="32"/>
      <x:c r="G111" s="10"/>
      <x:c r="H111" s="10" t="str">
        <x:v>flush</x:v>
      </x:c>
      <x:c r="I111" s="10"/>
      <x:c r="J111" s="10" t="str">
        <x:v>published</x:v>
      </x:c>
      <x:c r="K111" s="10" t="str">
        <x:v>internal_demo</x:v>
      </x:c>
      <x:c r="L111" s="10" t="str">
        <x:v>SRC-INTERNAL-DEMO-20260726</x:v>
      </x:c>
    </x:row>
    <x:row r="112" ht="24" hidden="0" customHeight="1">
      <x:c r="A112" s="9" t="str">
        <x:v>ATTRVAL-MODEL-VECTOR-CERTIFICATION</x:v>
      </x:c>
      <x:c r="B112" s="9" t="str">
        <x:v>model</x:v>
      </x:c>
      <x:c r="C112" s="9" t="str">
        <x:v>BIZON-WHEEL-MODEL-VECTOR</x:v>
      </x:c>
      <x:c r="D112" s="9" t="str">
        <x:v>certification</x:v>
      </x:c>
      <x:c r="E112" s="9" t="str">
        <x:v>Internal demo specification</x:v>
      </x:c>
      <x:c r="F112" s="31"/>
      <x:c r="G112" s="9"/>
      <x:c r="H112" s="9"/>
      <x:c r="I112" s="9"/>
      <x:c r="J112" s="9" t="str">
        <x:v>published</x:v>
      </x:c>
      <x:c r="K112" s="9" t="str">
        <x:v>internal_demo</x:v>
      </x:c>
      <x:c r="L112" s="9" t="str">
        <x:v>SRC-INTERNAL-DEMO-20260726</x:v>
      </x:c>
    </x:row>
    <x:row r="113" ht="24" hidden="0" customHeight="1">
      <x:c r="A113" s="10" t="str">
        <x:v>ATTRVAL-MODEL-VECTOR-RECOMMENDED-USE</x:v>
      </x:c>
      <x:c r="B113" s="10" t="str">
        <x:v>model</x:v>
      </x:c>
      <x:c r="C113" s="10" t="str">
        <x:v>BIZON-WHEEL-MODEL-VECTOR</x:v>
      </x:c>
      <x:c r="D113" s="10" t="str">
        <x:v>recommended_use</x:v>
      </x:c>
      <x:c r="E113" s="10"/>
      <x:c r="F113" s="32"/>
      <x:c r="G113" s="10"/>
      <x:c r="H113" s="10" t="str">
        <x:v>street</x:v>
      </x:c>
      <x:c r="I113" s="10"/>
      <x:c r="J113" s="10" t="str">
        <x:v>published</x:v>
      </x:c>
      <x:c r="K113" s="10" t="str">
        <x:v>internal_demo</x:v>
      </x:c>
      <x:c r="L113" s="10" t="str">
        <x:v>SRC-INTERNAL-DEMO-20260726</x:v>
      </x:c>
    </x:row>
    <x:row r="114" ht="24" hidden="0" customHeight="1">
      <x:c r="A114" s="9" t="str">
        <x:v>ATTRVAL-MODEL-VECTOR-CUSTOMIZABLE</x:v>
      </x:c>
      <x:c r="B114" s="9" t="str">
        <x:v>model</x:v>
      </x:c>
      <x:c r="C114" s="9" t="str">
        <x:v>BIZON-WHEEL-MODEL-VECTOR</x:v>
      </x:c>
      <x:c r="D114" s="9" t="str">
        <x:v>customizable</x:v>
      </x:c>
      <x:c r="E114" s="9"/>
      <x:c r="F114" s="31"/>
      <x:c r="G114" s="16" t="b">
        <x:v>1</x:v>
      </x:c>
      <x:c r="H114" s="9"/>
      <x:c r="I114" s="9"/>
      <x:c r="J114" s="9" t="str">
        <x:v>published</x:v>
      </x:c>
      <x:c r="K114" s="9" t="str">
        <x:v>internal_demo</x:v>
      </x:c>
      <x:c r="L114" s="9" t="str">
        <x:v>SRC-INTERNAL-DEMO-20260726</x:v>
      </x:c>
    </x:row>
    <x:row r="115" ht="24" hidden="0" customHeight="1">
      <x:c r="A115" s="10" t="str">
        <x:v>ATTRVAL-MODEL-VECTOR-WARRANTY-MONTHS</x:v>
      </x:c>
      <x:c r="B115" s="10" t="str">
        <x:v>model</x:v>
      </x:c>
      <x:c r="C115" s="10" t="str">
        <x:v>BIZON-WHEEL-MODEL-VECTOR</x:v>
      </x:c>
      <x:c r="D115" s="10" t="str">
        <x:v>warranty_months</x:v>
      </x:c>
      <x:c r="E115" s="10"/>
      <x:c r="F115" s="32" t="n">
        <x:v>36</x:v>
      </x:c>
      <x:c r="G115" s="10"/>
      <x:c r="H115" s="10"/>
      <x:c r="I115" s="10" t="str">
        <x:v>month</x:v>
      </x:c>
      <x:c r="J115" s="10" t="str">
        <x:v>published</x:v>
      </x:c>
      <x:c r="K115" s="10" t="str">
        <x:v>internal_demo</x:v>
      </x:c>
      <x:c r="L115" s="10" t="str">
        <x:v>SRC-INTERNAL-DEMO-20260726</x:v>
      </x:c>
    </x:row>
    <x:row r="116" ht="24" hidden="0" customHeight="1">
      <x:c r="A116" s="9" t="str">
        <x:v>ATTRVAL-MODEL-NOMAD-MATERIAL-GRADE</x:v>
      </x:c>
      <x:c r="B116" s="9" t="str">
        <x:v>model</x:v>
      </x:c>
      <x:c r="C116" s="9" t="str">
        <x:v>BIZON-WHEEL-MODEL-NOMAD</x:v>
      </x:c>
      <x:c r="D116" s="9" t="str">
        <x:v>material_grade</x:v>
      </x:c>
      <x:c r="E116" s="9" t="str">
        <x:v>Forged 6061-T6 aluminium</x:v>
      </x:c>
      <x:c r="F116" s="31"/>
      <x:c r="G116" s="9"/>
      <x:c r="H116" s="9"/>
      <x:c r="I116" s="9"/>
      <x:c r="J116" s="9" t="str">
        <x:v>published</x:v>
      </x:c>
      <x:c r="K116" s="9" t="str">
        <x:v>internal_demo</x:v>
      </x:c>
      <x:c r="L116" s="9" t="str">
        <x:v>SRC-INTERNAL-DEMO-20260726</x:v>
      </x:c>
    </x:row>
    <x:row r="117" ht="24" hidden="0" customHeight="1">
      <x:c r="A117" s="10" t="str">
        <x:v>ATTRVAL-MODEL-NOMAD-SPOKE-COUNT</x:v>
      </x:c>
      <x:c r="B117" s="10" t="str">
        <x:v>model</x:v>
      </x:c>
      <x:c r="C117" s="10" t="str">
        <x:v>BIZON-WHEEL-MODEL-NOMAD</x:v>
      </x:c>
      <x:c r="D117" s="10" t="str">
        <x:v>spoke_count</x:v>
      </x:c>
      <x:c r="E117" s="10"/>
      <x:c r="F117" s="32" t="n">
        <x:v>6</x:v>
      </x:c>
      <x:c r="G117" s="10"/>
      <x:c r="H117" s="10"/>
      <x:c r="I117" s="10"/>
      <x:c r="J117" s="10" t="str">
        <x:v>published</x:v>
      </x:c>
      <x:c r="K117" s="10" t="str">
        <x:v>internal_demo</x:v>
      </x:c>
      <x:c r="L117" s="10" t="str">
        <x:v>SRC-INTERNAL-DEMO-20260726</x:v>
      </x:c>
    </x:row>
    <x:row r="118" ht="24" hidden="0" customHeight="1">
      <x:c r="A118" s="9" t="str">
        <x:v>ATTRVAL-MODEL-NOMAD-LIP-STYLE</x:v>
      </x:c>
      <x:c r="B118" s="9" t="str">
        <x:v>model</x:v>
      </x:c>
      <x:c r="C118" s="9" t="str">
        <x:v>BIZON-WHEEL-MODEL-NOMAD</x:v>
      </x:c>
      <x:c r="D118" s="9" t="str">
        <x:v>lip_style</x:v>
      </x:c>
      <x:c r="E118" s="9"/>
      <x:c r="F118" s="31"/>
      <x:c r="G118" s="9"/>
      <x:c r="H118" s="9" t="str">
        <x:v>deep</x:v>
      </x:c>
      <x:c r="I118" s="9"/>
      <x:c r="J118" s="9" t="str">
        <x:v>published</x:v>
      </x:c>
      <x:c r="K118" s="9" t="str">
        <x:v>internal_demo</x:v>
      </x:c>
      <x:c r="L118" s="9" t="str">
        <x:v>SRC-INTERNAL-DEMO-20260726</x:v>
      </x:c>
    </x:row>
    <x:row r="119" ht="24" hidden="0" customHeight="1">
      <x:c r="A119" s="10" t="str">
        <x:v>ATTRVAL-MODEL-NOMAD-CERTIFICATION</x:v>
      </x:c>
      <x:c r="B119" s="10" t="str">
        <x:v>model</x:v>
      </x:c>
      <x:c r="C119" s="10" t="str">
        <x:v>BIZON-WHEEL-MODEL-NOMAD</x:v>
      </x:c>
      <x:c r="D119" s="10" t="str">
        <x:v>certification</x:v>
      </x:c>
      <x:c r="E119" s="10" t="str">
        <x:v>Internal demo specification</x:v>
      </x:c>
      <x:c r="F119" s="32"/>
      <x:c r="G119" s="10"/>
      <x:c r="H119" s="10"/>
      <x:c r="I119" s="10"/>
      <x:c r="J119" s="10" t="str">
        <x:v>published</x:v>
      </x:c>
      <x:c r="K119" s="10" t="str">
        <x:v>internal_demo</x:v>
      </x:c>
      <x:c r="L119" s="10" t="str">
        <x:v>SRC-INTERNAL-DEMO-20260726</x:v>
      </x:c>
    </x:row>
    <x:row r="120" ht="24" hidden="0" customHeight="1">
      <x:c r="A120" s="9" t="str">
        <x:v>ATTRVAL-MODEL-NOMAD-RECOMMENDED-USE</x:v>
      </x:c>
      <x:c r="B120" s="9" t="str">
        <x:v>model</x:v>
      </x:c>
      <x:c r="C120" s="9" t="str">
        <x:v>BIZON-WHEEL-MODEL-NOMAD</x:v>
      </x:c>
      <x:c r="D120" s="9" t="str">
        <x:v>recommended_use</x:v>
      </x:c>
      <x:c r="E120" s="9"/>
      <x:c r="F120" s="31"/>
      <x:c r="G120" s="9"/>
      <x:c r="H120" s="9" t="str">
        <x:v>offroad</x:v>
      </x:c>
      <x:c r="I120" s="9"/>
      <x:c r="J120" s="9" t="str">
        <x:v>published</x:v>
      </x:c>
      <x:c r="K120" s="9" t="str">
        <x:v>internal_demo</x:v>
      </x:c>
      <x:c r="L120" s="9" t="str">
        <x:v>SRC-INTERNAL-DEMO-20260726</x:v>
      </x:c>
    </x:row>
    <x:row r="121" ht="24" hidden="0" customHeight="1">
      <x:c r="A121" s="10" t="str">
        <x:v>ATTRVAL-MODEL-NOMAD-CUSTOMIZABLE</x:v>
      </x:c>
      <x:c r="B121" s="10" t="str">
        <x:v>model</x:v>
      </x:c>
      <x:c r="C121" s="10" t="str">
        <x:v>BIZON-WHEEL-MODEL-NOMAD</x:v>
      </x:c>
      <x:c r="D121" s="10" t="str">
        <x:v>customizable</x:v>
      </x:c>
      <x:c r="E121" s="10"/>
      <x:c r="F121" s="32"/>
      <x:c r="G121" s="17" t="b">
        <x:v>1</x:v>
      </x:c>
      <x:c r="H121" s="10"/>
      <x:c r="I121" s="10"/>
      <x:c r="J121" s="10" t="str">
        <x:v>published</x:v>
      </x:c>
      <x:c r="K121" s="10" t="str">
        <x:v>internal_demo</x:v>
      </x:c>
      <x:c r="L121" s="10" t="str">
        <x:v>SRC-INTERNAL-DEMO-20260726</x:v>
      </x:c>
    </x:row>
    <x:row r="122" ht="24" hidden="0" customHeight="1">
      <x:c r="A122" s="9" t="str">
        <x:v>ATTRVAL-MODEL-NOMAD-WARRANTY-MONTHS</x:v>
      </x:c>
      <x:c r="B122" s="9" t="str">
        <x:v>model</x:v>
      </x:c>
      <x:c r="C122" s="9" t="str">
        <x:v>BIZON-WHEEL-MODEL-NOMAD</x:v>
      </x:c>
      <x:c r="D122" s="9" t="str">
        <x:v>warranty_months</x:v>
      </x:c>
      <x:c r="E122" s="9"/>
      <x:c r="F122" s="31" t="n">
        <x:v>36</x:v>
      </x:c>
      <x:c r="G122" s="9"/>
      <x:c r="H122" s="9"/>
      <x:c r="I122" s="9" t="str">
        <x:v>month</x:v>
      </x:c>
      <x:c r="J122" s="9" t="str">
        <x:v>published</x:v>
      </x:c>
      <x:c r="K122" s="9" t="str">
        <x:v>internal_demo</x:v>
      </x:c>
      <x:c r="L122" s="9" t="str">
        <x:v>SRC-INTERNAL-DEMO-20260726</x:v>
      </x:c>
    </x:row>
    <x:row r="123" ht="24" hidden="0" customHeight="1">
      <x:c r="A123" s="10" t="str">
        <x:v>ATTRVAL-MODEL-EMBER-MATERIAL-GRADE</x:v>
      </x:c>
      <x:c r="B123" s="10" t="str">
        <x:v>model</x:v>
      </x:c>
      <x:c r="C123" s="10" t="str">
        <x:v>BIZON-WHEEL-MODEL-EMBER</x:v>
      </x:c>
      <x:c r="D123" s="10" t="str">
        <x:v>material_grade</x:v>
      </x:c>
      <x:c r="E123" s="10" t="str">
        <x:v>Forged 6061-T6 aluminium</x:v>
      </x:c>
      <x:c r="F123" s="32"/>
      <x:c r="G123" s="10"/>
      <x:c r="H123" s="10"/>
      <x:c r="I123" s="10"/>
      <x:c r="J123" s="10" t="str">
        <x:v>published</x:v>
      </x:c>
      <x:c r="K123" s="10" t="str">
        <x:v>internal_demo</x:v>
      </x:c>
      <x:c r="L123" s="10" t="str">
        <x:v>SRC-INTERNAL-DEMO-20260726</x:v>
      </x:c>
    </x:row>
    <x:row r="124" ht="24" hidden="0" customHeight="1">
      <x:c r="A124" s="9" t="str">
        <x:v>ATTRVAL-MODEL-EMBER-SPOKE-COUNT</x:v>
      </x:c>
      <x:c r="B124" s="9" t="str">
        <x:v>model</x:v>
      </x:c>
      <x:c r="C124" s="9" t="str">
        <x:v>BIZON-WHEEL-MODEL-EMBER</x:v>
      </x:c>
      <x:c r="D124" s="9" t="str">
        <x:v>spoke_count</x:v>
      </x:c>
      <x:c r="E124" s="9"/>
      <x:c r="F124" s="31" t="n">
        <x:v>10</x:v>
      </x:c>
      <x:c r="G124" s="9"/>
      <x:c r="H124" s="9"/>
      <x:c r="I124" s="9"/>
      <x:c r="J124" s="9" t="str">
        <x:v>published</x:v>
      </x:c>
      <x:c r="K124" s="9" t="str">
        <x:v>internal_demo</x:v>
      </x:c>
      <x:c r="L124" s="9" t="str">
        <x:v>SRC-INTERNAL-DEMO-20260726</x:v>
      </x:c>
    </x:row>
    <x:row r="125" ht="24" hidden="0" customHeight="1">
      <x:c r="A125" s="10" t="str">
        <x:v>ATTRVAL-MODEL-EMBER-LIP-STYLE</x:v>
      </x:c>
      <x:c r="B125" s="10" t="str">
        <x:v>model</x:v>
      </x:c>
      <x:c r="C125" s="10" t="str">
        <x:v>BIZON-WHEEL-MODEL-EMBER</x:v>
      </x:c>
      <x:c r="D125" s="10" t="str">
        <x:v>lip_style</x:v>
      </x:c>
      <x:c r="E125" s="10"/>
      <x:c r="F125" s="32"/>
      <x:c r="G125" s="10"/>
      <x:c r="H125" s="10" t="str">
        <x:v>flush</x:v>
      </x:c>
      <x:c r="I125" s="10"/>
      <x:c r="J125" s="10" t="str">
        <x:v>published</x:v>
      </x:c>
      <x:c r="K125" s="10" t="str">
        <x:v>internal_demo</x:v>
      </x:c>
      <x:c r="L125" s="10" t="str">
        <x:v>SRC-INTERNAL-DEMO-20260726</x:v>
      </x:c>
    </x:row>
    <x:row r="126" ht="24" hidden="0" customHeight="1">
      <x:c r="A126" s="9" t="str">
        <x:v>ATTRVAL-MODEL-EMBER-CERTIFICATION</x:v>
      </x:c>
      <x:c r="B126" s="9" t="str">
        <x:v>model</x:v>
      </x:c>
      <x:c r="C126" s="9" t="str">
        <x:v>BIZON-WHEEL-MODEL-EMBER</x:v>
      </x:c>
      <x:c r="D126" s="9" t="str">
        <x:v>certification</x:v>
      </x:c>
      <x:c r="E126" s="9" t="str">
        <x:v>Internal demo specification</x:v>
      </x:c>
      <x:c r="F126" s="31"/>
      <x:c r="G126" s="9"/>
      <x:c r="H126" s="9"/>
      <x:c r="I126" s="9"/>
      <x:c r="J126" s="9" t="str">
        <x:v>published</x:v>
      </x:c>
      <x:c r="K126" s="9" t="str">
        <x:v>internal_demo</x:v>
      </x:c>
      <x:c r="L126" s="9" t="str">
        <x:v>SRC-INTERNAL-DEMO-20260726</x:v>
      </x:c>
    </x:row>
    <x:row r="127" ht="24" hidden="0" customHeight="1">
      <x:c r="A127" s="10" t="str">
        <x:v>ATTRVAL-MODEL-EMBER-RECOMMENDED-USE</x:v>
      </x:c>
      <x:c r="B127" s="10" t="str">
        <x:v>model</x:v>
      </x:c>
      <x:c r="C127" s="10" t="str">
        <x:v>BIZON-WHEEL-MODEL-EMBER</x:v>
      </x:c>
      <x:c r="D127" s="10" t="str">
        <x:v>recommended_use</x:v>
      </x:c>
      <x:c r="E127" s="10"/>
      <x:c r="F127" s="32"/>
      <x:c r="G127" s="10"/>
      <x:c r="H127" s="10" t="str">
        <x:v>performance</x:v>
      </x:c>
      <x:c r="I127" s="10"/>
      <x:c r="J127" s="10" t="str">
        <x:v>published</x:v>
      </x:c>
      <x:c r="K127" s="10" t="str">
        <x:v>internal_demo</x:v>
      </x:c>
      <x:c r="L127" s="10" t="str">
        <x:v>SRC-INTERNAL-DEMO-20260726</x:v>
      </x:c>
    </x:row>
    <x:row r="128" ht="24" hidden="0" customHeight="1">
      <x:c r="A128" s="9" t="str">
        <x:v>ATTRVAL-MODEL-EMBER-CUSTOMIZABLE</x:v>
      </x:c>
      <x:c r="B128" s="9" t="str">
        <x:v>model</x:v>
      </x:c>
      <x:c r="C128" s="9" t="str">
        <x:v>BIZON-WHEEL-MODEL-EMBER</x:v>
      </x:c>
      <x:c r="D128" s="9" t="str">
        <x:v>customizable</x:v>
      </x:c>
      <x:c r="E128" s="9"/>
      <x:c r="F128" s="31"/>
      <x:c r="G128" s="16" t="b">
        <x:v>1</x:v>
      </x:c>
      <x:c r="H128" s="9"/>
      <x:c r="I128" s="9"/>
      <x:c r="J128" s="9" t="str">
        <x:v>published</x:v>
      </x:c>
      <x:c r="K128" s="9" t="str">
        <x:v>internal_demo</x:v>
      </x:c>
      <x:c r="L128" s="9" t="str">
        <x:v>SRC-INTERNAL-DEMO-20260726</x:v>
      </x:c>
    </x:row>
    <x:row r="129" ht="24" hidden="0" customHeight="1">
      <x:c r="A129" s="10" t="str">
        <x:v>ATTRVAL-MODEL-EMBER-WARRANTY-MONTHS</x:v>
      </x:c>
      <x:c r="B129" s="10" t="str">
        <x:v>model</x:v>
      </x:c>
      <x:c r="C129" s="10" t="str">
        <x:v>BIZON-WHEEL-MODEL-EMBER</x:v>
      </x:c>
      <x:c r="D129" s="10" t="str">
        <x:v>warranty_months</x:v>
      </x:c>
      <x:c r="E129" s="10"/>
      <x:c r="F129" s="32" t="n">
        <x:v>36</x:v>
      </x:c>
      <x:c r="G129" s="10"/>
      <x:c r="H129" s="10"/>
      <x:c r="I129" s="10" t="str">
        <x:v>month</x:v>
      </x:c>
      <x:c r="J129" s="10" t="str">
        <x:v>published</x:v>
      </x:c>
      <x:c r="K129" s="10" t="str">
        <x:v>internal_demo</x:v>
      </x:c>
      <x:c r="L129" s="10" t="str">
        <x:v>SRC-INTERNAL-DEMO-20260726</x:v>
      </x:c>
    </x:row>
    <x:row r="130" ht="24" hidden="0" customHeight="1">
      <x:c r="A130" s="9" t="str">
        <x:v>ATTRVAL-MODEL-BASTION-MATERIAL-GRADE</x:v>
      </x:c>
      <x:c r="B130" s="9" t="str">
        <x:v>model</x:v>
      </x:c>
      <x:c r="C130" s="9" t="str">
        <x:v>BIZON-WHEEL-MODEL-BASTION</x:v>
      </x:c>
      <x:c r="D130" s="9" t="str">
        <x:v>material_grade</x:v>
      </x:c>
      <x:c r="E130" s="9" t="str">
        <x:v>Forged 6061-T6 aluminium</x:v>
      </x:c>
      <x:c r="F130" s="31"/>
      <x:c r="G130" s="9"/>
      <x:c r="H130" s="9"/>
      <x:c r="I130" s="9"/>
      <x:c r="J130" s="9" t="str">
        <x:v>published</x:v>
      </x:c>
      <x:c r="K130" s="9" t="str">
        <x:v>internal_demo</x:v>
      </x:c>
      <x:c r="L130" s="9" t="str">
        <x:v>SRC-INTERNAL-DEMO-20260726</x:v>
      </x:c>
    </x:row>
    <x:row r="131" ht="24" hidden="0" customHeight="1">
      <x:c r="A131" s="10" t="str">
        <x:v>ATTRVAL-MODEL-BASTION-SPOKE-COUNT</x:v>
      </x:c>
      <x:c r="B131" s="10" t="str">
        <x:v>model</x:v>
      </x:c>
      <x:c r="C131" s="10" t="str">
        <x:v>BIZON-WHEEL-MODEL-BASTION</x:v>
      </x:c>
      <x:c r="D131" s="10" t="str">
        <x:v>spoke_count</x:v>
      </x:c>
      <x:c r="E131" s="10"/>
      <x:c r="F131" s="32" t="n">
        <x:v>8</x:v>
      </x:c>
      <x:c r="G131" s="10"/>
      <x:c r="H131" s="10"/>
      <x:c r="I131" s="10"/>
      <x:c r="J131" s="10" t="str">
        <x:v>published</x:v>
      </x:c>
      <x:c r="K131" s="10" t="str">
        <x:v>internal_demo</x:v>
      </x:c>
      <x:c r="L131" s="10" t="str">
        <x:v>SRC-INTERNAL-DEMO-20260726</x:v>
      </x:c>
    </x:row>
    <x:row r="132" ht="24" hidden="0" customHeight="1">
      <x:c r="A132" s="9" t="str">
        <x:v>ATTRVAL-MODEL-BASTION-LIP-STYLE</x:v>
      </x:c>
      <x:c r="B132" s="9" t="str">
        <x:v>model</x:v>
      </x:c>
      <x:c r="C132" s="9" t="str">
        <x:v>BIZON-WHEEL-MODEL-BASTION</x:v>
      </x:c>
      <x:c r="D132" s="9" t="str">
        <x:v>lip_style</x:v>
      </x:c>
      <x:c r="E132" s="9"/>
      <x:c r="F132" s="31"/>
      <x:c r="G132" s="9"/>
      <x:c r="H132" s="9" t="str">
        <x:v>deep</x:v>
      </x:c>
      <x:c r="I132" s="9"/>
      <x:c r="J132" s="9" t="str">
        <x:v>published</x:v>
      </x:c>
      <x:c r="K132" s="9" t="str">
        <x:v>internal_demo</x:v>
      </x:c>
      <x:c r="L132" s="9" t="str">
        <x:v>SRC-INTERNAL-DEMO-20260726</x:v>
      </x:c>
    </x:row>
    <x:row r="133" ht="24" hidden="0" customHeight="1">
      <x:c r="A133" s="10" t="str">
        <x:v>ATTRVAL-MODEL-BASTION-CERTIFICATION</x:v>
      </x:c>
      <x:c r="B133" s="10" t="str">
        <x:v>model</x:v>
      </x:c>
      <x:c r="C133" s="10" t="str">
        <x:v>BIZON-WHEEL-MODEL-BASTION</x:v>
      </x:c>
      <x:c r="D133" s="10" t="str">
        <x:v>certification</x:v>
      </x:c>
      <x:c r="E133" s="10" t="str">
        <x:v>Internal demo specification</x:v>
      </x:c>
      <x:c r="F133" s="32"/>
      <x:c r="G133" s="10"/>
      <x:c r="H133" s="10"/>
      <x:c r="I133" s="10"/>
      <x:c r="J133" s="10" t="str">
        <x:v>published</x:v>
      </x:c>
      <x:c r="K133" s="10" t="str">
        <x:v>internal_demo</x:v>
      </x:c>
      <x:c r="L133" s="10" t="str">
        <x:v>SRC-INTERNAL-DEMO-20260726</x:v>
      </x:c>
    </x:row>
    <x:row r="134" ht="24" hidden="0" customHeight="1">
      <x:c r="A134" s="9" t="str">
        <x:v>ATTRVAL-MODEL-BASTION-RECOMMENDED-USE</x:v>
      </x:c>
      <x:c r="B134" s="9" t="str">
        <x:v>model</x:v>
      </x:c>
      <x:c r="C134" s="9" t="str">
        <x:v>BIZON-WHEEL-MODEL-BASTION</x:v>
      </x:c>
      <x:c r="D134" s="9" t="str">
        <x:v>recommended_use</x:v>
      </x:c>
      <x:c r="E134" s="9"/>
      <x:c r="F134" s="31"/>
      <x:c r="G134" s="9"/>
      <x:c r="H134" s="9" t="str">
        <x:v>offroad</x:v>
      </x:c>
      <x:c r="I134" s="9"/>
      <x:c r="J134" s="9" t="str">
        <x:v>published</x:v>
      </x:c>
      <x:c r="K134" s="9" t="str">
        <x:v>internal_demo</x:v>
      </x:c>
      <x:c r="L134" s="9" t="str">
        <x:v>SRC-INTERNAL-DEMO-20260726</x:v>
      </x:c>
    </x:row>
    <x:row r="135" ht="24" hidden="0" customHeight="1">
      <x:c r="A135" s="10" t="str">
        <x:v>ATTRVAL-MODEL-BASTION-CUSTOMIZABLE</x:v>
      </x:c>
      <x:c r="B135" s="10" t="str">
        <x:v>model</x:v>
      </x:c>
      <x:c r="C135" s="10" t="str">
        <x:v>BIZON-WHEEL-MODEL-BASTION</x:v>
      </x:c>
      <x:c r="D135" s="10" t="str">
        <x:v>customizable</x:v>
      </x:c>
      <x:c r="E135" s="10"/>
      <x:c r="F135" s="32"/>
      <x:c r="G135" s="17" t="b">
        <x:v>1</x:v>
      </x:c>
      <x:c r="H135" s="10"/>
      <x:c r="I135" s="10"/>
      <x:c r="J135" s="10" t="str">
        <x:v>published</x:v>
      </x:c>
      <x:c r="K135" s="10" t="str">
        <x:v>internal_demo</x:v>
      </x:c>
      <x:c r="L135" s="10" t="str">
        <x:v>SRC-INTERNAL-DEMO-20260726</x:v>
      </x:c>
    </x:row>
    <x:row r="136" ht="24" hidden="0" customHeight="1">
      <x:c r="A136" s="9" t="str">
        <x:v>ATTRVAL-MODEL-BASTION-WARRANTY-MONTHS</x:v>
      </x:c>
      <x:c r="B136" s="9" t="str">
        <x:v>model</x:v>
      </x:c>
      <x:c r="C136" s="9" t="str">
        <x:v>BIZON-WHEEL-MODEL-BASTION</x:v>
      </x:c>
      <x:c r="D136" s="9" t="str">
        <x:v>warranty_months</x:v>
      </x:c>
      <x:c r="E136" s="9"/>
      <x:c r="F136" s="31" t="n">
        <x:v>36</x:v>
      </x:c>
      <x:c r="G136" s="9"/>
      <x:c r="H136" s="9"/>
      <x:c r="I136" s="9" t="str">
        <x:v>month</x:v>
      </x:c>
      <x:c r="J136" s="9" t="str">
        <x:v>published</x:v>
      </x:c>
      <x:c r="K136" s="9" t="str">
        <x:v>internal_demo</x:v>
      </x:c>
      <x:c r="L136" s="9" t="str">
        <x:v>SRC-INTERNAL-DEMO-20260726</x:v>
      </x:c>
    </x:row>
  </x:sheetData>
  <x:conditionalFormatting sqref="J2:J136">
    <x:cfRule type="containsText" dxfId="54" priority="1" operator="containsText" text="published"/>
    <x:cfRule type="containsText" dxfId="55" priority="2" operator="containsText" text="ok"/>
    <x:cfRule type="containsText" dxfId="56" priority="3" operator="containsText" text="pass"/>
    <x:cfRule type="containsText" dxfId="57" priority="4" operator="containsText" text="compatible"/>
    <x:cfRule type="containsText" dxfId="58" priority="5" operator="containsText" text="review"/>
    <x:cfRule type="containsText" dxfId="59" priority="6" operator="containsText" text="conditional"/>
    <x:cfRule type="containsText" dxfId="60" priority="7" operator="containsText" text="error"/>
    <x:cfRule type="containsText" dxfId="61" priority="8" operator="containsText" text="fail"/>
    <x:cfRule type="containsText" dxfId="62" priority="9" operator="containsText" text="archived"/>
  </x:conditionalFormatting>
  <x:dataValidations count="2">
    <x:dataValidation type="list" sqref="J2:J136">
      <x:formula1>"draft,review,published,archived"</x:formula1>
    </x:dataValidation>
    <x:dataValidation type="list" sqref="B2:B136">
      <x:formula1>"model,variant,platform"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fab811219e45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23" hidden="0" customWidth="1"/>
    <x:col min="4" max="4" width="34" hidden="0" customWidth="1"/>
    <x:col min="5" max="5" width="18" hidden="0" customWidth="1"/>
    <x:col min="6" max="6" width="20" hidden="0" customWidth="1"/>
    <x:col min="7" max="7" width="13" hidden="0" customWidth="1"/>
    <x:col min="8" max="8" width="18" hidden="0" customWidth="1"/>
    <x:col min="9" max="9" width="17" hidden="0" customWidth="1"/>
    <x:col min="10" max="10" width="18" hidden="0" customWidth="1"/>
    <x:col min="11" max="11" width="13" hidden="0" customWidth="1"/>
    <x:col min="12" max="12" width="12" hidden="0" customWidth="1"/>
    <x:col min="13" max="13" width="15" hidden="0" customWidth="1"/>
    <x:col min="14" max="14" width="15" hidden="0" customWidth="1"/>
    <x:col min="15" max="15" width="20" hidden="0" customWidth="1"/>
    <x:col min="16" max="16" width="20" hidden="0" customWidth="1"/>
    <x:col min="17" max="17" width="12" hidden="0" customWidth="1"/>
    <x:col min="18" max="18" width="18" hidden="0" customWidth="1"/>
    <x:col min="19" max="19" width="20" hidden="0" customWidth="1"/>
    <x:col min="20" max="20" width="20" hidden="0" customWidth="1"/>
    <x:col min="21" max="21" width="18" hidden="0" customWidth="1"/>
    <x:col min="22" max="22" width="12" hidden="0" customWidth="1"/>
    <x:col min="23" max="23" width="20" hidden="0" customWidth="1"/>
    <x:col min="24" max="24" width="30" hidden="0" customWidth="1"/>
    <x:col min="25" max="25" width="20" hidden="0" customWidth="1"/>
    <x:col min="26" max="26" width="12" hidden="0" customWidth="1"/>
    <x:col min="27" max="27" width="18" hidden="0" customWidth="1"/>
    <x:col min="28" max="28" width="18" hidden="0" customWidth="1"/>
    <x:col min="29" max="29" width="26" hidden="0" customWidth="1"/>
  </x:cols>
  <x:sheetData>
    <x:row r="1" ht="30" customHeight="1">
      <x:c r="A1" s="8" t="str">
        <x:v>filter_key</x:v>
      </x:c>
      <x:c r="B1" s="8" t="str">
        <x:v>label_ru</x:v>
      </x:c>
      <x:c r="C1" s="8" t="str">
        <x:v>short_label_ru</x:v>
      </x:c>
      <x:c r="D1" s="8" t="str">
        <x:v>description_ru</x:v>
      </x:c>
      <x:c r="E1" s="8" t="str">
        <x:v>entity_scope</x:v>
      </x:c>
      <x:c r="F1" s="8" t="str">
        <x:v>source_attribute_key</x:v>
      </x:c>
      <x:c r="G1" s="8" t="str">
        <x:v>source_kind</x:v>
      </x:c>
      <x:c r="H1" s="8" t="str">
        <x:v>filter_type</x:v>
      </x:c>
      <x:c r="I1" s="8" t="str">
        <x:v>query_parameter</x:v>
      </x:c>
      <x:c r="J1" s="8" t="str">
        <x:v>url_value_type</x:v>
      </x:c>
      <x:c r="K1" s="8" t="str">
        <x:v>multi_value</x:v>
      </x:c>
      <x:c r="L1" s="8" t="str">
        <x:v>unit</x:v>
      </x:c>
      <x:c r="M1" s="8" t="str">
        <x:v>display_group</x:v>
      </x:c>
      <x:c r="N1" s="18" t="str">
        <x:v>display_order</x:v>
      </x:c>
      <x:c r="O1" s="8" t="str">
        <x:v>open_by_default_desktop</x:v>
      </x:c>
      <x:c r="P1" s="8" t="str">
        <x:v>open_by_default_mobile</x:v>
      </x:c>
      <x:c r="Q1" s="18" t="str">
        <x:v>show_count</x:v>
      </x:c>
      <x:c r="R1" s="8" t="str">
        <x:v>show_zero_values</x:v>
      </x:c>
      <x:c r="S1" s="8" t="str">
        <x:v>zero_value_behavior</x:v>
      </x:c>
      <x:c r="T1" s="8" t="str">
        <x:v>searchable_inside_filter</x:v>
      </x:c>
      <x:c r="U1" s="8" t="str">
        <x:v>sort_mode</x:v>
      </x:c>
      <x:c r="V1" s="8" t="str">
        <x:v>seo_policy</x:v>
      </x:c>
      <x:c r="W1" s="8" t="str">
        <x:v>analytics_event_key</x:v>
      </x:c>
      <x:c r="X1" s="8" t="str">
        <x:v>payload_query_strategy</x:v>
      </x:c>
      <x:c r="Y1" s="8" t="str">
        <x:v>db_index_recommended</x:v>
      </x:c>
      <x:c r="Z1" s="8" t="str">
        <x:v>enabled</x:v>
      </x:c>
      <x:c r="AA1" s="8" t="str">
        <x:v>lifecycle_status</x:v>
      </x:c>
      <x:c r="AB1" s="8" t="str">
        <x:v>source_type</x:v>
      </x:c>
      <x:c r="AC1" s="8" t="str">
        <x:v>source_id</x:v>
      </x:c>
    </x:row>
    <x:row r="2" ht="24" hidden="0" customHeight="1">
      <x:c r="A2" s="9" t="str">
        <x:v>diameter_in</x:v>
      </x:c>
      <x:c r="B2" s="9" t="str">
        <x:v>Диаметр</x:v>
      </x:c>
      <x:c r="C2" s="9" t="str">
        <x:v>Диаметр</x:v>
      </x:c>
      <x:c r="D2" s="9" t="str">
        <x:v>Диаметр: активный фильтр каталога кованых дисков.</x:v>
      </x:c>
      <x:c r="E2" s="9" t="str">
        <x:v>variant</x:v>
      </x:c>
      <x:c r="F2" s="9" t="str">
        <x:v>diameter_in</x:v>
      </x:c>
      <x:c r="G2" s="9" t="str">
        <x:v>core_field</x:v>
      </x:c>
      <x:c r="H2" s="9" t="str">
        <x:v>multi_select</x:v>
      </x:c>
      <x:c r="I2" s="9" t="str">
        <x:v>diameter</x:v>
      </x:c>
      <x:c r="J2" s="9" t="str">
        <x:v>number</x:v>
      </x:c>
      <x:c r="K2" s="16" t="b">
        <x:v>1</x:v>
      </x:c>
      <x:c r="L2" s="9" t="str">
        <x:v>inch</x:v>
      </x:c>
      <x:c r="M2" s="9" t="str">
        <x:v>Основные</x:v>
      </x:c>
      <x:c r="N2" s="19" t="n">
        <x:v>10</x:v>
      </x:c>
      <x:c r="O2" s="16" t="b">
        <x:v>1</x:v>
      </x:c>
      <x:c r="P2" s="16" t="b">
        <x:v>1</x:v>
      </x:c>
      <x:c r="Q2" s="33" t="b">
        <x:v>1</x:v>
      </x:c>
      <x:c r="R2" s="16" t="b">
        <x:v>0</x:v>
      </x:c>
      <x:c r="S2" s="9" t="str">
        <x:v>hide</x:v>
      </x:c>
      <x:c r="T2" s="16" t="b">
        <x:v>1</x:v>
      </x:c>
      <x:c r="U2" s="9" t="str">
        <x:v>numeric_asc</x:v>
      </x:c>
      <x:c r="V2" s="9" t="str">
        <x:v>noindex_for_combinations</x:v>
      </x:c>
      <x:c r="W2" s="9" t="str">
        <x:v>catalog_filter_diameter_in</x:v>
      </x:c>
      <x:c r="X2" s="9" t="str">
        <x:v>where[diameter_in][in_or_range]</x:v>
      </x:c>
      <x:c r="Y2" s="16" t="b">
        <x:v>1</x:v>
      </x:c>
      <x:c r="Z2" s="16" t="b">
        <x:v>1</x:v>
      </x:c>
      <x:c r="AA2" s="9" t="str">
        <x:v>published</x:v>
      </x:c>
      <x:c r="AB2" s="9" t="str">
        <x:v>internal_demo</x:v>
      </x:c>
      <x:c r="AC2" s="9" t="str">
        <x:v>SRC-INTERNAL-DEMO-20260726</x:v>
      </x:c>
    </x:row>
    <x:row r="3" ht="24" hidden="0" customHeight="1">
      <x:c r="A3" s="10" t="str">
        <x:v>width_in</x:v>
      </x:c>
      <x:c r="B3" s="10" t="str">
        <x:v>Ширина</x:v>
      </x:c>
      <x:c r="C3" s="10" t="str">
        <x:v>Ширина</x:v>
      </x:c>
      <x:c r="D3" s="10" t="str">
        <x:v>Ширина: активный фильтр каталога кованых дисков.</x:v>
      </x:c>
      <x:c r="E3" s="10" t="str">
        <x:v>variant</x:v>
      </x:c>
      <x:c r="F3" s="10" t="str">
        <x:v>width_in</x:v>
      </x:c>
      <x:c r="G3" s="10" t="str">
        <x:v>core_field</x:v>
      </x:c>
      <x:c r="H3" s="10" t="str">
        <x:v>multi_select</x:v>
      </x:c>
      <x:c r="I3" s="10" t="str">
        <x:v>width</x:v>
      </x:c>
      <x:c r="J3" s="10" t="str">
        <x:v>number</x:v>
      </x:c>
      <x:c r="K3" s="17" t="b">
        <x:v>1</x:v>
      </x:c>
      <x:c r="L3" s="10" t="str">
        <x:v>inch</x:v>
      </x:c>
      <x:c r="M3" s="10" t="str">
        <x:v>Основные</x:v>
      </x:c>
      <x:c r="N3" s="20" t="n">
        <x:v>20</x:v>
      </x:c>
      <x:c r="O3" s="17" t="b">
        <x:v>1</x:v>
      </x:c>
      <x:c r="P3" s="17" t="b">
        <x:v>1</x:v>
      </x:c>
      <x:c r="Q3" s="34" t="b">
        <x:v>1</x:v>
      </x:c>
      <x:c r="R3" s="17" t="b">
        <x:v>0</x:v>
      </x:c>
      <x:c r="S3" s="10" t="str">
        <x:v>hide</x:v>
      </x:c>
      <x:c r="T3" s="17" t="b">
        <x:v>1</x:v>
      </x:c>
      <x:c r="U3" s="10" t="str">
        <x:v>numeric_asc</x:v>
      </x:c>
      <x:c r="V3" s="10" t="str">
        <x:v>noindex_for_combinations</x:v>
      </x:c>
      <x:c r="W3" s="10" t="str">
        <x:v>catalog_filter_width_in</x:v>
      </x:c>
      <x:c r="X3" s="10" t="str">
        <x:v>where[width_in][in_or_range]</x:v>
      </x:c>
      <x:c r="Y3" s="17" t="b">
        <x:v>1</x:v>
      </x:c>
      <x:c r="Z3" s="17" t="b">
        <x:v>1</x:v>
      </x:c>
      <x:c r="AA3" s="10" t="str">
        <x:v>published</x:v>
      </x:c>
      <x:c r="AB3" s="10" t="str">
        <x:v>internal_demo</x:v>
      </x:c>
      <x:c r="AC3" s="10" t="str">
        <x:v>SRC-INTERNAL-DEMO-20260726</x:v>
      </x:c>
    </x:row>
    <x:row r="4" ht="24" hidden="0" customHeight="1">
      <x:c r="A4" s="9" t="str">
        <x:v>offset_et_mm</x:v>
      </x:c>
      <x:c r="B4" s="9" t="str">
        <x:v>Вылет ET</x:v>
      </x:c>
      <x:c r="C4" s="9" t="str">
        <x:v>ET</x:v>
      </x:c>
      <x:c r="D4" s="9" t="str">
        <x:v>Вылет ET: активный фильтр каталога кованых дисков.</x:v>
      </x:c>
      <x:c r="E4" s="9" t="str">
        <x:v>variant</x:v>
      </x:c>
      <x:c r="F4" s="9" t="str">
        <x:v>offset_et_mm</x:v>
      </x:c>
      <x:c r="G4" s="9" t="str">
        <x:v>core_field</x:v>
      </x:c>
      <x:c r="H4" s="9" t="str">
        <x:v>numeric_range</x:v>
      </x:c>
      <x:c r="I4" s="9" t="str">
        <x:v>et</x:v>
      </x:c>
      <x:c r="J4" s="9" t="str">
        <x:v>number</x:v>
      </x:c>
      <x:c r="K4" s="16" t="b">
        <x:v>0</x:v>
      </x:c>
      <x:c r="L4" s="9" t="str">
        <x:v>mm</x:v>
      </x:c>
      <x:c r="M4" s="9" t="str">
        <x:v>Основные</x:v>
      </x:c>
      <x:c r="N4" s="19" t="n">
        <x:v>30</x:v>
      </x:c>
      <x:c r="O4" s="16" t="b">
        <x:v>1</x:v>
      </x:c>
      <x:c r="P4" s="16" t="b">
        <x:v>0</x:v>
      </x:c>
      <x:c r="Q4" s="33" t="b">
        <x:v>1</x:v>
      </x:c>
      <x:c r="R4" s="16" t="b">
        <x:v>0</x:v>
      </x:c>
      <x:c r="S4" s="9" t="str">
        <x:v>hide</x:v>
      </x:c>
      <x:c r="T4" s="16" t="b">
        <x:v>0</x:v>
      </x:c>
      <x:c r="U4" s="9" t="str">
        <x:v>numeric_asc</x:v>
      </x:c>
      <x:c r="V4" s="9" t="str">
        <x:v>noindex_for_combinations</x:v>
      </x:c>
      <x:c r="W4" s="9" t="str">
        <x:v>catalog_filter_offset_et_mm</x:v>
      </x:c>
      <x:c r="X4" s="9" t="str">
        <x:v>where[offset_et_mm][in_or_range]</x:v>
      </x:c>
      <x:c r="Y4" s="16" t="b">
        <x:v>1</x:v>
      </x:c>
      <x:c r="Z4" s="16" t="b">
        <x:v>1</x:v>
      </x:c>
      <x:c r="AA4" s="9" t="str">
        <x:v>published</x:v>
      </x:c>
      <x:c r="AB4" s="9" t="str">
        <x:v>internal_demo</x:v>
      </x:c>
      <x:c r="AC4" s="9" t="str">
        <x:v>SRC-INTERNAL-DEMO-20260726</x:v>
      </x:c>
    </x:row>
    <x:row r="5" ht="24" hidden="0" customHeight="1">
      <x:c r="A5" s="10" t="str">
        <x:v>construction_type</x:v>
      </x:c>
      <x:c r="B5" s="10" t="str">
        <x:v>Тип конструкции</x:v>
      </x:c>
      <x:c r="C5" s="10" t="str">
        <x:v>Конструкция</x:v>
      </x:c>
      <x:c r="D5" s="10" t="str">
        <x:v>Тип конструкции: активный фильтр каталога кованых дисков.</x:v>
      </x:c>
      <x:c r="E5" s="10" t="str">
        <x:v>variant</x:v>
      </x:c>
      <x:c r="F5" s="10" t="str">
        <x:v>construction_type</x:v>
      </x:c>
      <x:c r="G5" s="10" t="str">
        <x:v>core_field</x:v>
      </x:c>
      <x:c r="H5" s="10" t="str">
        <x:v>multi_select</x:v>
      </x:c>
      <x:c r="I5" s="10" t="str">
        <x:v>construction</x:v>
      </x:c>
      <x:c r="J5" s="10" t="str">
        <x:v>string</x:v>
      </x:c>
      <x:c r="K5" s="17" t="b">
        <x:v>1</x:v>
      </x:c>
      <x:c r="L5" s="10"/>
      <x:c r="M5" s="10" t="str">
        <x:v>Основные</x:v>
      </x:c>
      <x:c r="N5" s="20" t="n">
        <x:v>40</x:v>
      </x:c>
      <x:c r="O5" s="17" t="b">
        <x:v>0</x:v>
      </x:c>
      <x:c r="P5" s="17" t="b">
        <x:v>0</x:v>
      </x:c>
      <x:c r="Q5" s="34" t="b">
        <x:v>1</x:v>
      </x:c>
      <x:c r="R5" s="17" t="b">
        <x:v>0</x:v>
      </x:c>
      <x:c r="S5" s="10" t="str">
        <x:v>hide</x:v>
      </x:c>
      <x:c r="T5" s="17" t="b">
        <x:v>1</x:v>
      </x:c>
      <x:c r="U5" s="10" t="str">
        <x:v>label_asc</x:v>
      </x:c>
      <x:c r="V5" s="10" t="str">
        <x:v>noindex_for_combinations</x:v>
      </x:c>
      <x:c r="W5" s="10" t="str">
        <x:v>catalog_filter_construction_type</x:v>
      </x:c>
      <x:c r="X5" s="10" t="str">
        <x:v>where[construction_type][in_or_range]</x:v>
      </x:c>
      <x:c r="Y5" s="17" t="b">
        <x:v>1</x:v>
      </x:c>
      <x:c r="Z5" s="17" t="b">
        <x:v>1</x:v>
      </x:c>
      <x:c r="AA5" s="10" t="str">
        <x:v>published</x:v>
      </x:c>
      <x:c r="AB5" s="10" t="str">
        <x:v>internal_demo</x:v>
      </x:c>
      <x:c r="AC5" s="10" t="str">
        <x:v>SRC-INTERNAL-DEMO-20260726</x:v>
      </x:c>
    </x:row>
    <x:row r="6" ht="24" hidden="0" customHeight="1">
      <x:c r="A6" s="9" t="str">
        <x:v>beadlock_type</x:v>
      </x:c>
      <x:c r="B6" s="9" t="str">
        <x:v>Beadlock</x:v>
      </x:c>
      <x:c r="C6" s="9" t="str">
        <x:v>Beadlock</x:v>
      </x:c>
      <x:c r="D6" s="9" t="str">
        <x:v>Beadlock: активный фильтр каталога кованых дисков.</x:v>
      </x:c>
      <x:c r="E6" s="9" t="str">
        <x:v>variant</x:v>
      </x:c>
      <x:c r="F6" s="9" t="str">
        <x:v>beadlock_type</x:v>
      </x:c>
      <x:c r="G6" s="9" t="str">
        <x:v>attribute</x:v>
      </x:c>
      <x:c r="H6" s="9" t="str">
        <x:v>multi_select</x:v>
      </x:c>
      <x:c r="I6" s="9" t="str">
        <x:v>beadlock</x:v>
      </x:c>
      <x:c r="J6" s="9" t="str">
        <x:v>string</x:v>
      </x:c>
      <x:c r="K6" s="16" t="b">
        <x:v>1</x:v>
      </x:c>
      <x:c r="L6" s="9"/>
      <x:c r="M6" s="9" t="str">
        <x:v>Основные</x:v>
      </x:c>
      <x:c r="N6" s="19" t="n">
        <x:v>50</x:v>
      </x:c>
      <x:c r="O6" s="16" t="b">
        <x:v>0</x:v>
      </x:c>
      <x:c r="P6" s="16" t="b">
        <x:v>0</x:v>
      </x:c>
      <x:c r="Q6" s="33" t="b">
        <x:v>1</x:v>
      </x:c>
      <x:c r="R6" s="16" t="b">
        <x:v>0</x:v>
      </x:c>
      <x:c r="S6" s="9" t="str">
        <x:v>hide</x:v>
      </x:c>
      <x:c r="T6" s="16" t="b">
        <x:v>1</x:v>
      </x:c>
      <x:c r="U6" s="9" t="str">
        <x:v>label_asc</x:v>
      </x:c>
      <x:c r="V6" s="9" t="str">
        <x:v>noindex_for_combinations</x:v>
      </x:c>
      <x:c r="W6" s="9" t="str">
        <x:v>catalog_filter_beadlock_type</x:v>
      </x:c>
      <x:c r="X6" s="9" t="str">
        <x:v>where[characteristics][beadlock_type][in]</x:v>
      </x:c>
      <x:c r="Y6" s="16" t="b">
        <x:v>1</x:v>
      </x:c>
      <x:c r="Z6" s="16" t="b">
        <x:v>1</x:v>
      </x:c>
      <x:c r="AA6" s="9" t="str">
        <x:v>published</x:v>
      </x:c>
      <x:c r="AB6" s="9" t="str">
        <x:v>internal_demo</x:v>
      </x:c>
      <x:c r="AC6" s="9" t="str">
        <x:v>SRC-INTERNAL-DEMO-20260726</x:v>
      </x:c>
    </x:row>
  </x:sheetData>
  <x:conditionalFormatting sqref="AA2:AA6">
    <x:cfRule type="containsText" dxfId="63" priority="1" operator="containsText" text="published"/>
    <x:cfRule type="containsText" dxfId="64" priority="2" operator="containsText" text="ok"/>
    <x:cfRule type="containsText" dxfId="65" priority="3" operator="containsText" text="pass"/>
    <x:cfRule type="containsText" dxfId="66" priority="4" operator="containsText" text="compatible"/>
    <x:cfRule type="containsText" dxfId="67" priority="5" operator="containsText" text="review"/>
    <x:cfRule type="containsText" dxfId="68" priority="6" operator="containsText" text="conditional"/>
    <x:cfRule type="containsText" dxfId="69" priority="7" operator="containsText" text="error"/>
    <x:cfRule type="containsText" dxfId="70" priority="8" operator="containsText" text="fail"/>
    <x:cfRule type="containsText" dxfId="71" priority="9" operator="containsText" text="archived"/>
  </x:conditionalFormatting>
  <x:dataValidations count="1">
    <x:dataValidation type="list" sqref="AA2:AA6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f8f9ecca1b4d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2" hidden="0" customWidth="1"/>
    <x:col min="4" max="4" width="23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2" hidden="0" customWidth="1"/>
    <x:col min="12" max="12" width="12" hidden="0" customWidth="1"/>
    <x:col min="13" max="13" width="18" hidden="0" customWidth="1"/>
    <x:col min="14" max="14" width="18" hidden="0" customWidth="1"/>
    <x:col min="15" max="15" width="26" hidden="0" customWidth="1"/>
  </x:cols>
  <x:sheetData>
    <x:row r="1" ht="30" customHeight="1">
      <x:c r="A1" s="8" t="str">
        <x:v>filter_value_id</x:v>
      </x:c>
      <x:c r="B1" s="8" t="str">
        <x:v>filter_key</x:v>
      </x:c>
      <x:c r="C1" s="8" t="str">
        <x:v>value_key</x:v>
      </x:c>
      <x:c r="D1" s="8" t="str">
        <x:v>label_ru</x:v>
      </x:c>
      <x:c r="E1" s="8" t="str">
        <x:v>value_number</x:v>
      </x:c>
      <x:c r="F1" s="8" t="str">
        <x:v>value_text</x:v>
      </x:c>
      <x:c r="G1" s="8" t="str">
        <x:v>value_min</x:v>
      </x:c>
      <x:c r="H1" s="8" t="str">
        <x:v>value_max</x:v>
      </x:c>
      <x:c r="I1" s="8" t="str">
        <x:v>unit</x:v>
      </x:c>
      <x:c r="J1" s="18" t="str">
        <x:v>variant_count</x:v>
      </x:c>
      <x:c r="K1" s="18" t="str">
        <x:v>sort_order</x:v>
      </x:c>
      <x:c r="L1" s="8" t="str">
        <x:v>enabled</x:v>
      </x:c>
      <x:c r="M1" s="8" t="str">
        <x:v>lifecycle_status</x:v>
      </x:c>
      <x:c r="N1" s="8" t="str">
        <x:v>source_type</x:v>
      </x:c>
      <x:c r="O1" s="8" t="str">
        <x:v>source_id</x:v>
      </x:c>
    </x:row>
    <x:row r="2" ht="15" hidden="0" customHeight="1">
      <x:c r="A2" s="9" t="str">
        <x:v>FV-DIAMETER_IN-17</x:v>
      </x:c>
      <x:c r="B2" s="9" t="str">
        <x:v>diameter_in</x:v>
      </x:c>
      <x:c r="C2" s="9" t="str">
        <x:v>17</x:v>
      </x:c>
      <x:c r="D2" s="9" t="str">
        <x:v>17</x:v>
      </x:c>
      <x:c r="E2" s="9" t="n">
        <x:v>17</x:v>
      </x:c>
      <x:c r="F2" s="9"/>
      <x:c r="G2" s="9"/>
      <x:c r="H2" s="9"/>
      <x:c r="I2" s="9" t="str">
        <x:v>inch</x:v>
      </x:c>
      <x:c r="J2" s="19" t="n">
        <x:f>COUNTIFS('02_WHEEL_VARIANTS'!$K$2:$K$21,17,'02_WHEEL_VARIANTS'!$F$2:$F$21,"published",'02_WHEEL_VARIANTS'!$AA$2:$AA$21,"ok")</x:f>
        <x:v>3</x:v>
      </x:c>
      <x:c r="K2" s="19" t="n">
        <x:v>17</x:v>
      </x:c>
      <x:c r="L2" s="16" t="b">
        <x:v>1</x:v>
      </x:c>
      <x:c r="M2" s="9" t="str">
        <x:v>published</x:v>
      </x:c>
      <x:c r="N2" s="9" t="str">
        <x:v>calculated</x:v>
      </x:c>
      <x:c r="O2" s="9" t="str">
        <x:v>SRC-INTERNAL-DEMO-20260726</x:v>
      </x:c>
    </x:row>
    <x:row r="3" ht="15" hidden="0" customHeight="1">
      <x:c r="A3" s="10" t="str">
        <x:v>FV-DIAMETER_IN-18</x:v>
      </x:c>
      <x:c r="B3" s="10" t="str">
        <x:v>diameter_in</x:v>
      </x:c>
      <x:c r="C3" s="10" t="str">
        <x:v>18</x:v>
      </x:c>
      <x:c r="D3" s="10" t="str">
        <x:v>18</x:v>
      </x:c>
      <x:c r="E3" s="10" t="n">
        <x:v>18</x:v>
      </x:c>
      <x:c r="F3" s="10"/>
      <x:c r="G3" s="10"/>
      <x:c r="H3" s="10"/>
      <x:c r="I3" s="10" t="str">
        <x:v>inch</x:v>
      </x:c>
      <x:c r="J3" s="20" t="n">
        <x:f>COUNTIFS('02_WHEEL_VARIANTS'!$K$2:$K$21,18,'02_WHEEL_VARIANTS'!$F$2:$F$21,"published",'02_WHEEL_VARIANTS'!$AA$2:$AA$21,"ok")</x:f>
        <x:v>7</x:v>
      </x:c>
      <x:c r="K3" s="20" t="n">
        <x:v>18</x:v>
      </x:c>
      <x:c r="L3" s="17" t="b">
        <x:v>1</x:v>
      </x:c>
      <x:c r="M3" s="10" t="str">
        <x:v>published</x:v>
      </x:c>
      <x:c r="N3" s="10" t="str">
        <x:v>calculated</x:v>
      </x:c>
      <x:c r="O3" s="10" t="str">
        <x:v>SRC-INTERNAL-DEMO-20260726</x:v>
      </x:c>
    </x:row>
    <x:row r="4" ht="15" hidden="0" customHeight="1">
      <x:c r="A4" s="9" t="str">
        <x:v>FV-DIAMETER_IN-19</x:v>
      </x:c>
      <x:c r="B4" s="9" t="str">
        <x:v>diameter_in</x:v>
      </x:c>
      <x:c r="C4" s="9" t="str">
        <x:v>19</x:v>
      </x:c>
      <x:c r="D4" s="9" t="str">
        <x:v>19</x:v>
      </x:c>
      <x:c r="E4" s="9" t="n">
        <x:v>19</x:v>
      </x:c>
      <x:c r="F4" s="9"/>
      <x:c r="G4" s="9"/>
      <x:c r="H4" s="9"/>
      <x:c r="I4" s="9" t="str">
        <x:v>inch</x:v>
      </x:c>
      <x:c r="J4" s="19" t="n">
        <x:f>COUNTIFS('02_WHEEL_VARIANTS'!$K$2:$K$21,19,'02_WHEEL_VARIANTS'!$F$2:$F$21,"published",'02_WHEEL_VARIANTS'!$AA$2:$AA$21,"ok")</x:f>
        <x:v>3</x:v>
      </x:c>
      <x:c r="K4" s="19" t="n">
        <x:v>19</x:v>
      </x:c>
      <x:c r="L4" s="16" t="b">
        <x:v>1</x:v>
      </x:c>
      <x:c r="M4" s="9" t="str">
        <x:v>published</x:v>
      </x:c>
      <x:c r="N4" s="9" t="str">
        <x:v>calculated</x:v>
      </x:c>
      <x:c r="O4" s="9" t="str">
        <x:v>SRC-INTERNAL-DEMO-20260726</x:v>
      </x:c>
    </x:row>
    <x:row r="5" ht="15" hidden="0" customHeight="1">
      <x:c r="A5" s="10" t="str">
        <x:v>FV-DIAMETER_IN-20</x:v>
      </x:c>
      <x:c r="B5" s="10" t="str">
        <x:v>diameter_in</x:v>
      </x:c>
      <x:c r="C5" s="10" t="str">
        <x:v>20</x:v>
      </x:c>
      <x:c r="D5" s="10" t="str">
        <x:v>20</x:v>
      </x:c>
      <x:c r="E5" s="10" t="n">
        <x:v>20</x:v>
      </x:c>
      <x:c r="F5" s="10"/>
      <x:c r="G5" s="10"/>
      <x:c r="H5" s="10"/>
      <x:c r="I5" s="10" t="str">
        <x:v>inch</x:v>
      </x:c>
      <x:c r="J5" s="20" t="n">
        <x:f>COUNTIFS('02_WHEEL_VARIANTS'!$K$2:$K$21,20,'02_WHEEL_VARIANTS'!$F$2:$F$21,"published",'02_WHEEL_VARIANTS'!$AA$2:$AA$21,"ok")</x:f>
        <x:v>6</x:v>
      </x:c>
      <x:c r="K5" s="20" t="n">
        <x:v>20</x:v>
      </x:c>
      <x:c r="L5" s="17" t="b">
        <x:v>1</x:v>
      </x:c>
      <x:c r="M5" s="10" t="str">
        <x:v>published</x:v>
      </x:c>
      <x:c r="N5" s="10" t="str">
        <x:v>calculated</x:v>
      </x:c>
      <x:c r="O5" s="10" t="str">
        <x:v>SRC-INTERNAL-DEMO-20260726</x:v>
      </x:c>
    </x:row>
    <x:row r="6" ht="15" hidden="0" customHeight="1">
      <x:c r="A6" s="9" t="str">
        <x:v>FV-DIAMETER_IN-21</x:v>
      </x:c>
      <x:c r="B6" s="9" t="str">
        <x:v>diameter_in</x:v>
      </x:c>
      <x:c r="C6" s="9" t="str">
        <x:v>21</x:v>
      </x:c>
      <x:c r="D6" s="9" t="str">
        <x:v>21</x:v>
      </x:c>
      <x:c r="E6" s="9" t="n">
        <x:v>21</x:v>
      </x:c>
      <x:c r="F6" s="9"/>
      <x:c r="G6" s="9"/>
      <x:c r="H6" s="9"/>
      <x:c r="I6" s="9" t="str">
        <x:v>inch</x:v>
      </x:c>
      <x:c r="J6" s="19" t="n">
        <x:f>COUNTIFS('02_WHEEL_VARIANTS'!$K$2:$K$21,21,'02_WHEEL_VARIANTS'!$F$2:$F$21,"published",'02_WHEEL_VARIANTS'!$AA$2:$AA$21,"ok")</x:f>
        <x:v>1</x:v>
      </x:c>
      <x:c r="K6" s="19" t="n">
        <x:v>21</x:v>
      </x:c>
      <x:c r="L6" s="16" t="b">
        <x:v>1</x:v>
      </x:c>
      <x:c r="M6" s="9" t="str">
        <x:v>published</x:v>
      </x:c>
      <x:c r="N6" s="9" t="str">
        <x:v>calculated</x:v>
      </x:c>
      <x:c r="O6" s="9" t="str">
        <x:v>SRC-INTERNAL-DEMO-20260726</x:v>
      </x:c>
    </x:row>
    <x:row r="7" ht="15" hidden="0" customHeight="1">
      <x:c r="A7" s="10" t="str">
        <x:v>FV-WIDTH_IN-8P5</x:v>
      </x:c>
      <x:c r="B7" s="10" t="str">
        <x:v>width_in</x:v>
      </x:c>
      <x:c r="C7" s="10" t="str">
        <x:v>8.5</x:v>
      </x:c>
      <x:c r="D7" s="10" t="str">
        <x:v>8.5</x:v>
      </x:c>
      <x:c r="E7" s="10" t="n">
        <x:v>8.5</x:v>
      </x:c>
      <x:c r="F7" s="10"/>
      <x:c r="G7" s="10"/>
      <x:c r="H7" s="10"/>
      <x:c r="I7" s="10" t="str">
        <x:v>inch</x:v>
      </x:c>
      <x:c r="J7" s="20" t="n">
        <x:f>COUNTIFS('02_WHEEL_VARIANTS'!$L$2:$L$21,8.5,'02_WHEEL_VARIANTS'!$F$2:$F$21,"published",'02_WHEEL_VARIANTS'!$AA$2:$AA$21,"ok")</x:f>
        <x:v>3</x:v>
      </x:c>
      <x:c r="K7" s="20" t="n">
        <x:v>8.5</x:v>
      </x:c>
      <x:c r="L7" s="17" t="b">
        <x:v>1</x:v>
      </x:c>
      <x:c r="M7" s="10" t="str">
        <x:v>published</x:v>
      </x:c>
      <x:c r="N7" s="10" t="str">
        <x:v>calculated</x:v>
      </x:c>
      <x:c r="O7" s="10" t="str">
        <x:v>SRC-INTERNAL-DEMO-20260726</x:v>
      </x:c>
    </x:row>
    <x:row r="8" ht="15" hidden="0" customHeight="1">
      <x:c r="A8" s="9" t="str">
        <x:v>FV-WIDTH_IN-9</x:v>
      </x:c>
      <x:c r="B8" s="9" t="str">
        <x:v>width_in</x:v>
      </x:c>
      <x:c r="C8" s="9" t="str">
        <x:v>9</x:v>
      </x:c>
      <x:c r="D8" s="9" t="str">
        <x:v>9</x:v>
      </x:c>
      <x:c r="E8" s="9" t="n">
        <x:v>9</x:v>
      </x:c>
      <x:c r="F8" s="9"/>
      <x:c r="G8" s="9"/>
      <x:c r="H8" s="9"/>
      <x:c r="I8" s="9" t="str">
        <x:v>inch</x:v>
      </x:c>
      <x:c r="J8" s="19" t="n">
        <x:f>COUNTIFS('02_WHEEL_VARIANTS'!$L$2:$L$21,9,'02_WHEEL_VARIANTS'!$F$2:$F$21,"published",'02_WHEEL_VARIANTS'!$AA$2:$AA$21,"ok")</x:f>
        <x:v>9</x:v>
      </x:c>
      <x:c r="K8" s="19" t="n">
        <x:v>9</x:v>
      </x:c>
      <x:c r="L8" s="16" t="b">
        <x:v>1</x:v>
      </x:c>
      <x:c r="M8" s="9" t="str">
        <x:v>published</x:v>
      </x:c>
      <x:c r="N8" s="9" t="str">
        <x:v>calculated</x:v>
      </x:c>
      <x:c r="O8" s="9" t="str">
        <x:v>SRC-INTERNAL-DEMO-20260726</x:v>
      </x:c>
    </x:row>
    <x:row r="9" ht="15" hidden="0" customHeight="1">
      <x:c r="A9" s="10" t="str">
        <x:v>FV-WIDTH_IN-9P5</x:v>
      </x:c>
      <x:c r="B9" s="10" t="str">
        <x:v>width_in</x:v>
      </x:c>
      <x:c r="C9" s="10" t="str">
        <x:v>9.5</x:v>
      </x:c>
      <x:c r="D9" s="10" t="str">
        <x:v>9.5</x:v>
      </x:c>
      <x:c r="E9" s="10" t="n">
        <x:v>9.5</x:v>
      </x:c>
      <x:c r="F9" s="10"/>
      <x:c r="G9" s="10"/>
      <x:c r="H9" s="10"/>
      <x:c r="I9" s="10" t="str">
        <x:v>inch</x:v>
      </x:c>
      <x:c r="J9" s="20" t="n">
        <x:f>COUNTIFS('02_WHEEL_VARIANTS'!$L$2:$L$21,9.5,'02_WHEEL_VARIANTS'!$F$2:$F$21,"published",'02_WHEEL_VARIANTS'!$AA$2:$AA$21,"ok")</x:f>
        <x:v>2</x:v>
      </x:c>
      <x:c r="K9" s="20" t="n">
        <x:v>9.5</x:v>
      </x:c>
      <x:c r="L9" s="17" t="b">
        <x:v>1</x:v>
      </x:c>
      <x:c r="M9" s="10" t="str">
        <x:v>published</x:v>
      </x:c>
      <x:c r="N9" s="10" t="str">
        <x:v>calculated</x:v>
      </x:c>
      <x:c r="O9" s="10" t="str">
        <x:v>SRC-INTERNAL-DEMO-20260726</x:v>
      </x:c>
    </x:row>
    <x:row r="10" ht="15" hidden="0" customHeight="1">
      <x:c r="A10" s="9" t="str">
        <x:v>FV-WIDTH_IN-10</x:v>
      </x:c>
      <x:c r="B10" s="9" t="str">
        <x:v>width_in</x:v>
      </x:c>
      <x:c r="C10" s="9" t="str">
        <x:v>10</x:v>
      </x:c>
      <x:c r="D10" s="9" t="str">
        <x:v>10</x:v>
      </x:c>
      <x:c r="E10" s="9" t="n">
        <x:v>10</x:v>
      </x:c>
      <x:c r="F10" s="9"/>
      <x:c r="G10" s="9"/>
      <x:c r="H10" s="9"/>
      <x:c r="I10" s="9" t="str">
        <x:v>inch</x:v>
      </x:c>
      <x:c r="J10" s="19" t="n">
        <x:f>COUNTIFS('02_WHEEL_VARIANTS'!$L$2:$L$21,10,'02_WHEEL_VARIANTS'!$F$2:$F$21,"published",'02_WHEEL_VARIANTS'!$AA$2:$AA$21,"ok")</x:f>
        <x:v>3</x:v>
      </x:c>
      <x:c r="K10" s="19" t="n">
        <x:v>10</x:v>
      </x:c>
      <x:c r="L10" s="16" t="b">
        <x:v>1</x:v>
      </x:c>
      <x:c r="M10" s="9" t="str">
        <x:v>published</x:v>
      </x:c>
      <x:c r="N10" s="9" t="str">
        <x:v>calculated</x:v>
      </x:c>
      <x:c r="O10" s="9" t="str">
        <x:v>SRC-INTERNAL-DEMO-20260726</x:v>
      </x:c>
    </x:row>
    <x:row r="11" ht="15" hidden="0" customHeight="1">
      <x:c r="A11" s="10" t="str">
        <x:v>FV-WIDTH_IN-10P5</x:v>
      </x:c>
      <x:c r="B11" s="10" t="str">
        <x:v>width_in</x:v>
      </x:c>
      <x:c r="C11" s="10" t="str">
        <x:v>10.5</x:v>
      </x:c>
      <x:c r="D11" s="10" t="str">
        <x:v>10.5</x:v>
      </x:c>
      <x:c r="E11" s="10" t="n">
        <x:v>10.5</x:v>
      </x:c>
      <x:c r="F11" s="10"/>
      <x:c r="G11" s="10"/>
      <x:c r="H11" s="10"/>
      <x:c r="I11" s="10" t="str">
        <x:v>inch</x:v>
      </x:c>
      <x:c r="J11" s="20" t="n">
        <x:f>COUNTIFS('02_WHEEL_VARIANTS'!$L$2:$L$21,10.5,'02_WHEEL_VARIANTS'!$F$2:$F$21,"published",'02_WHEEL_VARIANTS'!$AA$2:$AA$21,"ok")</x:f>
        <x:v>3</x:v>
      </x:c>
      <x:c r="K11" s="20" t="n">
        <x:v>10.5</x:v>
      </x:c>
      <x:c r="L11" s="17" t="b">
        <x:v>1</x:v>
      </x:c>
      <x:c r="M11" s="10" t="str">
        <x:v>published</x:v>
      </x:c>
      <x:c r="N11" s="10" t="str">
        <x:v>calculated</x:v>
      </x:c>
      <x:c r="O11" s="10" t="str">
        <x:v>SRC-INTERNAL-DEMO-20260726</x:v>
      </x:c>
    </x:row>
    <x:row r="12" ht="15" hidden="0" customHeight="1">
      <x:c r="A12" s="9" t="str">
        <x:v>FV-OFFSET-ET-RANGE</x:v>
      </x:c>
      <x:c r="B12" s="9" t="str">
        <x:v>offset_et_mm</x:v>
      </x:c>
      <x:c r="C12" s="9" t="str">
        <x:v>available_range</x:v>
      </x:c>
      <x:c r="D12" s="9" t="str">
        <x:v>Доступный диапазон ET</x:v>
      </x:c>
      <x:c r="E12" s="9"/>
      <x:c r="F12" s="9"/>
      <x:c r="G12" s="9" t="n">
        <x:f>MIN('02_WHEEL_VARIANTS'!$M$2:$M$21)</x:f>
        <x:v>-18</x:v>
      </x:c>
      <x:c r="H12" s="9" t="n">
        <x:f>MAX('02_WHEEL_VARIANTS'!$M$2:$M$21)</x:f>
        <x:v>40</x:v>
      </x:c>
      <x:c r="I12" s="9" t="str">
        <x:v>mm</x:v>
      </x:c>
      <x:c r="J12" s="19" t="n">
        <x:f>COUNTIFS('02_WHEEL_VARIANTS'!$F$2:$F$21,"published",'02_WHEEL_VARIANTS'!$AA$2:$AA$21,"ok")</x:f>
        <x:v>20</x:v>
      </x:c>
      <x:c r="K12" s="19" t="n">
        <x:v>1</x:v>
      </x:c>
      <x:c r="L12" s="16" t="b">
        <x:v>1</x:v>
      </x:c>
      <x:c r="M12" s="9" t="str">
        <x:v>published</x:v>
      </x:c>
      <x:c r="N12" s="9" t="str">
        <x:v>calculated</x:v>
      </x:c>
      <x:c r="O12" s="9" t="str">
        <x:v>SRC-INTERNAL-DEMO-20260726</x:v>
      </x:c>
    </x:row>
    <x:row r="13" ht="24" hidden="0" customHeight="1">
      <x:c r="A13" s="10" t="str">
        <x:v>FV-CONSTRUCTION_TYPE-monoblock</x:v>
      </x:c>
      <x:c r="B13" s="10" t="str">
        <x:v>construction_type</x:v>
      </x:c>
      <x:c r="C13" s="10" t="str">
        <x:v>monoblock</x:v>
      </x:c>
      <x:c r="D13" s="10" t="str">
        <x:v>Моноблок</x:v>
      </x:c>
      <x:c r="E13" s="10"/>
      <x:c r="F13" s="10" t="str">
        <x:v>monoblock</x:v>
      </x:c>
      <x:c r="G13" s="10"/>
      <x:c r="H13" s="10"/>
      <x:c r="I13" s="10"/>
      <x:c r="J13" s="20" t="n">
        <x:f>COUNTIFS('02_WHEEL_VARIANTS'!$T$2:$T$21,"monoblock",'02_WHEEL_VARIANTS'!$F$2:$F$21,"published",'02_WHEEL_VARIANTS'!$AA$2:$AA$21,"ok")</x:f>
        <x:v>13</x:v>
      </x:c>
      <x:c r="K13" s="20" t="n">
        <x:v>12</x:v>
      </x:c>
      <x:c r="L13" s="17" t="b">
        <x:v>1</x:v>
      </x:c>
      <x:c r="M13" s="10" t="str">
        <x:v>published</x:v>
      </x:c>
      <x:c r="N13" s="10" t="str">
        <x:v>calculated</x:v>
      </x:c>
      <x:c r="O13" s="10" t="str">
        <x:v>SRC-INTERNAL-DEMO-20260726</x:v>
      </x:c>
    </x:row>
    <x:row r="14" ht="24" hidden="0" customHeight="1">
      <x:c r="A14" s="9" t="str">
        <x:v>FV-CONSTRUCTION_TYPE-two_piece</x:v>
      </x:c>
      <x:c r="B14" s="9" t="str">
        <x:v>construction_type</x:v>
      </x:c>
      <x:c r="C14" s="9" t="str">
        <x:v>two_piece</x:v>
      </x:c>
      <x:c r="D14" s="9" t="str">
        <x:v>Двухсоставной</x:v>
      </x:c>
      <x:c r="E14" s="9"/>
      <x:c r="F14" s="9" t="str">
        <x:v>two_piece</x:v>
      </x:c>
      <x:c r="G14" s="9"/>
      <x:c r="H14" s="9"/>
      <x:c r="I14" s="9"/>
      <x:c r="J14" s="19" t="n">
        <x:f>COUNTIFS('02_WHEEL_VARIANTS'!$T$2:$T$21,"two_piece",'02_WHEEL_VARIANTS'!$F$2:$F$21,"published",'02_WHEEL_VARIANTS'!$AA$2:$AA$21,"ok")</x:f>
        <x:v>4</x:v>
      </x:c>
      <x:c r="K14" s="19" t="n">
        <x:v>13</x:v>
      </x:c>
      <x:c r="L14" s="16" t="b">
        <x:v>1</x:v>
      </x:c>
      <x:c r="M14" s="9" t="str">
        <x:v>published</x:v>
      </x:c>
      <x:c r="N14" s="9" t="str">
        <x:v>calculated</x:v>
      </x:c>
      <x:c r="O14" s="9" t="str">
        <x:v>SRC-INTERNAL-DEMO-20260726</x:v>
      </x:c>
    </x:row>
    <x:row r="15" ht="24" hidden="0" customHeight="1">
      <x:c r="A15" s="10" t="str">
        <x:v>FV-CONSTRUCTION_TYPE-three_piece</x:v>
      </x:c>
      <x:c r="B15" s="10" t="str">
        <x:v>construction_type</x:v>
      </x:c>
      <x:c r="C15" s="10" t="str">
        <x:v>three_piece</x:v>
      </x:c>
      <x:c r="D15" s="10" t="str">
        <x:v>Трёхсоставной</x:v>
      </x:c>
      <x:c r="E15" s="10"/>
      <x:c r="F15" s="10" t="str">
        <x:v>three_piece</x:v>
      </x:c>
      <x:c r="G15" s="10"/>
      <x:c r="H15" s="10"/>
      <x:c r="I15" s="10"/>
      <x:c r="J15" s="20" t="n">
        <x:f>COUNTIFS('02_WHEEL_VARIANTS'!$T$2:$T$21,"three_piece",'02_WHEEL_VARIANTS'!$F$2:$F$21,"published",'02_WHEEL_VARIANTS'!$AA$2:$AA$21,"ok")</x:f>
        <x:v>3</x:v>
      </x:c>
      <x:c r="K15" s="20" t="n">
        <x:v>14</x:v>
      </x:c>
      <x:c r="L15" s="17" t="b">
        <x:v>1</x:v>
      </x:c>
      <x:c r="M15" s="10" t="str">
        <x:v>published</x:v>
      </x:c>
      <x:c r="N15" s="10" t="str">
        <x:v>calculated</x:v>
      </x:c>
      <x:c r="O15" s="10" t="str">
        <x:v>SRC-INTERNAL-DEMO-20260726</x:v>
      </x:c>
    </x:row>
    <x:row r="16" ht="15" hidden="0" customHeight="1">
      <x:c r="A16" s="9" t="str">
        <x:v>FV-BEADLOCK_TYPE-none</x:v>
      </x:c>
      <x:c r="B16" s="9" t="str">
        <x:v>beadlock_type</x:v>
      </x:c>
      <x:c r="C16" s="9" t="str">
        <x:v>none</x:v>
      </x:c>
      <x:c r="D16" s="9" t="str">
        <x:v>Без beadlock</x:v>
      </x:c>
      <x:c r="E16" s="9"/>
      <x:c r="F16" s="9" t="str">
        <x:v>none</x:v>
      </x:c>
      <x:c r="G16" s="9"/>
      <x:c r="H16" s="9"/>
      <x:c r="I16" s="9"/>
      <x:c r="J16" s="19" t="n">
        <x:f>COUNTIFS('06_ATTRIBUTE_VALUES'!$D$2:$D$136,"beadlock_type",'06_ATTRIBUTE_VALUES'!$H$2:$H$136,"none",'06_ATTRIBUTE_VALUES'!$J$2:$J$136,"published")</x:f>
        <x:v>11</x:v>
      </x:c>
      <x:c r="K16" s="19" t="n">
        <x:v>15</x:v>
      </x:c>
      <x:c r="L16" s="16" t="b">
        <x:v>1</x:v>
      </x:c>
      <x:c r="M16" s="9" t="str">
        <x:v>published</x:v>
      </x:c>
      <x:c r="N16" s="9" t="str">
        <x:v>calculated</x:v>
      </x:c>
      <x:c r="O16" s="9" t="str">
        <x:v>SRC-INTERNAL-DEMO-20260726</x:v>
      </x:c>
    </x:row>
    <x:row r="17" ht="15" hidden="0" customHeight="1">
      <x:c r="A17" s="10" t="str">
        <x:v>FV-BEADLOCK_TYPE-simulated</x:v>
      </x:c>
      <x:c r="B17" s="10" t="str">
        <x:v>beadlock_type</x:v>
      </x:c>
      <x:c r="C17" s="10" t="str">
        <x:v>simulated</x:v>
      </x:c>
      <x:c r="D17" s="10" t="str">
        <x:v>Декоративный beadlock</x:v>
      </x:c>
      <x:c r="E17" s="10"/>
      <x:c r="F17" s="10" t="str">
        <x:v>simulated</x:v>
      </x:c>
      <x:c r="G17" s="10"/>
      <x:c r="H17" s="10"/>
      <x:c r="I17" s="10"/>
      <x:c r="J17" s="20" t="n">
        <x:f>COUNTIFS('06_ATTRIBUTE_VALUES'!$D$2:$D$136,"beadlock_type",'06_ATTRIBUTE_VALUES'!$H$2:$H$136,"simulated",'06_ATTRIBUTE_VALUES'!$J$2:$J$136,"published")</x:f>
        <x:v>3</x:v>
      </x:c>
      <x:c r="K17" s="20" t="n">
        <x:v>16</x:v>
      </x:c>
      <x:c r="L17" s="17" t="b">
        <x:v>1</x:v>
      </x:c>
      <x:c r="M17" s="10" t="str">
        <x:v>published</x:v>
      </x:c>
      <x:c r="N17" s="10" t="str">
        <x:v>calculated</x:v>
      </x:c>
      <x:c r="O17" s="10" t="str">
        <x:v>SRC-INTERNAL-DEMO-20260726</x:v>
      </x:c>
    </x:row>
    <x:row r="18" ht="15" hidden="0" customHeight="1">
      <x:c r="A18" s="9" t="str">
        <x:v>FV-BEADLOCK_TYPE-functional</x:v>
      </x:c>
      <x:c r="B18" s="9" t="str">
        <x:v>beadlock_type</x:v>
      </x:c>
      <x:c r="C18" s="9" t="str">
        <x:v>functional</x:v>
      </x:c>
      <x:c r="D18" s="9" t="str">
        <x:v>Функциональный beadlock</x:v>
      </x:c>
      <x:c r="E18" s="9"/>
      <x:c r="F18" s="9" t="str">
        <x:v>functional</x:v>
      </x:c>
      <x:c r="G18" s="9"/>
      <x:c r="H18" s="9"/>
      <x:c r="I18" s="9"/>
      <x:c r="J18" s="19" t="n">
        <x:f>COUNTIFS('06_ATTRIBUTE_VALUES'!$D$2:$D$136,"beadlock_type",'06_ATTRIBUTE_VALUES'!$H$2:$H$136,"functional",'06_ATTRIBUTE_VALUES'!$J$2:$J$136,"published")</x:f>
        <x:v>6</x:v>
      </x:c>
      <x:c r="K18" s="19" t="n">
        <x:v>17</x:v>
      </x:c>
      <x:c r="L18" s="16" t="b">
        <x:v>1</x:v>
      </x:c>
      <x:c r="M18" s="9" t="str">
        <x:v>published</x:v>
      </x:c>
      <x:c r="N18" s="9" t="str">
        <x:v>calculated</x:v>
      </x:c>
      <x:c r="O18" s="9" t="str">
        <x:v>SRC-INTERNAL-DEMO-20260726</x:v>
      </x:c>
    </x:row>
  </x:sheetData>
  <x:conditionalFormatting sqref="M2:M18">
    <x:cfRule type="containsText" dxfId="72" priority="1" operator="containsText" text="published"/>
    <x:cfRule type="containsText" dxfId="73" priority="2" operator="containsText" text="ok"/>
    <x:cfRule type="containsText" dxfId="74" priority="3" operator="containsText" text="pass"/>
    <x:cfRule type="containsText" dxfId="75" priority="4" operator="containsText" text="compatible"/>
    <x:cfRule type="containsText" dxfId="76" priority="5" operator="containsText" text="review"/>
    <x:cfRule type="containsText" dxfId="77" priority="6" operator="containsText" text="conditional"/>
    <x:cfRule type="containsText" dxfId="78" priority="7" operator="containsText" text="error"/>
    <x:cfRule type="containsText" dxfId="79" priority="8" operator="containsText" text="fail"/>
    <x:cfRule type="containsText" dxfId="80" priority="9" operator="containsText" text="archived"/>
  </x:conditionalFormatting>
  <x:conditionalFormatting sqref="N2:N18">
    <x:cfRule type="containsText" dxfId="225" priority="10" operator="containsText" text="calculated"/>
  </x:conditionalFormatting>
  <x:dataValidations count="1">
    <x:dataValidation type="list" sqref="M2:M18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cd642201614f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3" hidden="0" customWidth="1"/>
    <x:col min="4" max="4" width="23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26" hidden="0" customWidth="1"/>
  </x:cols>
  <x:sheetData>
    <x:row r="1" ht="30" customHeight="1">
      <x:c r="A1" s="8" t="str">
        <x:v>dictionary_key</x:v>
      </x:c>
      <x:c r="B1" s="8" t="str">
        <x:v>value_key</x:v>
      </x:c>
      <x:c r="C1" s="8" t="str">
        <x:v>label_ru</x:v>
      </x:c>
      <x:c r="D1" s="8" t="str">
        <x:v>label_en</x:v>
      </x:c>
      <x:c r="E1" s="18" t="str">
        <x:v>sort_order</x:v>
      </x:c>
      <x:c r="F1" s="8" t="str">
        <x:v>enabled</x:v>
      </x:c>
      <x:c r="G1" s="8" t="str">
        <x:v>lifecycle_status</x:v>
      </x:c>
      <x:c r="H1" s="8" t="str">
        <x:v>source_type</x:v>
      </x:c>
      <x:c r="I1" s="8" t="str">
        <x:v>source_id</x:v>
      </x:c>
    </x:row>
    <x:row r="2" ht="15" hidden="0" customHeight="1">
      <x:c r="A2" s="9" t="str">
        <x:v>lifecycle_status</x:v>
      </x:c>
      <x:c r="B2" s="9" t="str">
        <x:v>draft</x:v>
      </x:c>
      <x:c r="C2" s="9" t="str">
        <x:v>Черновик</x:v>
      </x:c>
      <x:c r="D2" s="9" t="str">
        <x:v>Draft</x:v>
      </x:c>
      <x:c r="E2" s="19" t="n">
        <x:v>10</x:v>
      </x:c>
      <x:c r="F2" s="16" t="b">
        <x:v>1</x:v>
      </x:c>
      <x:c r="G2" s="9" t="str">
        <x:v>published</x:v>
      </x:c>
      <x:c r="H2" s="9" t="str">
        <x:v>internal_demo</x:v>
      </x:c>
      <x:c r="I2" s="9" t="str">
        <x:v>SRC-INTERNAL-DEMO-20260726</x:v>
      </x:c>
    </x:row>
    <x:row r="3" ht="15" hidden="0" customHeight="1">
      <x:c r="A3" s="10" t="str">
        <x:v>lifecycle_status</x:v>
      </x:c>
      <x:c r="B3" s="10" t="str">
        <x:v>review</x:v>
      </x:c>
      <x:c r="C3" s="10" t="str">
        <x:v>На проверке</x:v>
      </x:c>
      <x:c r="D3" s="10" t="str">
        <x:v>Review</x:v>
      </x:c>
      <x:c r="E3" s="20" t="n">
        <x:v>20</x:v>
      </x:c>
      <x:c r="F3" s="17" t="b">
        <x:v>1</x:v>
      </x:c>
      <x:c r="G3" s="10" t="str">
        <x:v>published</x:v>
      </x:c>
      <x:c r="H3" s="10" t="str">
        <x:v>internal_demo</x:v>
      </x:c>
      <x:c r="I3" s="10" t="str">
        <x:v>SRC-INTERNAL-DEMO-20260726</x:v>
      </x:c>
    </x:row>
    <x:row r="4" ht="15" hidden="0" customHeight="1">
      <x:c r="A4" s="9" t="str">
        <x:v>lifecycle_status</x:v>
      </x:c>
      <x:c r="B4" s="9" t="str">
        <x:v>published</x:v>
      </x:c>
      <x:c r="C4" s="9" t="str">
        <x:v>Опубликовано</x:v>
      </x:c>
      <x:c r="D4" s="9" t="str">
        <x:v>Published</x:v>
      </x:c>
      <x:c r="E4" s="19" t="n">
        <x:v>30</x:v>
      </x:c>
      <x:c r="F4" s="16" t="b">
        <x:v>1</x:v>
      </x:c>
      <x:c r="G4" s="9" t="str">
        <x:v>published</x:v>
      </x:c>
      <x:c r="H4" s="9" t="str">
        <x:v>internal_demo</x:v>
      </x:c>
      <x:c r="I4" s="9" t="str">
        <x:v>SRC-INTERNAL-DEMO-20260726</x:v>
      </x:c>
    </x:row>
    <x:row r="5" ht="15" hidden="0" customHeight="1">
      <x:c r="A5" s="10" t="str">
        <x:v>lifecycle_status</x:v>
      </x:c>
      <x:c r="B5" s="10" t="str">
        <x:v>archived</x:v>
      </x:c>
      <x:c r="C5" s="10" t="str">
        <x:v>Архив</x:v>
      </x:c>
      <x:c r="D5" s="10" t="str">
        <x:v>Archived</x:v>
      </x:c>
      <x:c r="E5" s="20" t="n">
        <x:v>40</x:v>
      </x:c>
      <x:c r="F5" s="17" t="b">
        <x:v>1</x:v>
      </x:c>
      <x:c r="G5" s="10" t="str">
        <x:v>published</x:v>
      </x:c>
      <x:c r="H5" s="10" t="str">
        <x:v>internal_demo</x:v>
      </x:c>
      <x:c r="I5" s="10" t="str">
        <x:v>SRC-INTERNAL-DEMO-20260726</x:v>
      </x:c>
    </x:row>
    <x:row r="6" ht="15" hidden="0" customHeight="1">
      <x:c r="A6" s="9" t="str">
        <x:v>construction_type</x:v>
      </x:c>
      <x:c r="B6" s="9" t="str">
        <x:v>monoblock</x:v>
      </x:c>
      <x:c r="C6" s="9" t="str">
        <x:v>Моноблок</x:v>
      </x:c>
      <x:c r="D6" s="9" t="str">
        <x:v>Monoblock</x:v>
      </x:c>
      <x:c r="E6" s="19" t="n">
        <x:v>10</x:v>
      </x:c>
      <x:c r="F6" s="16" t="b">
        <x:v>1</x:v>
      </x:c>
      <x:c r="G6" s="9" t="str">
        <x:v>published</x:v>
      </x:c>
      <x:c r="H6" s="9" t="str">
        <x:v>internal_demo</x:v>
      </x:c>
      <x:c r="I6" s="9" t="str">
        <x:v>SRC-INTERNAL-DEMO-20260726</x:v>
      </x:c>
    </x:row>
    <x:row r="7" ht="15" hidden="0" customHeight="1">
      <x:c r="A7" s="10" t="str">
        <x:v>construction_type</x:v>
      </x:c>
      <x:c r="B7" s="10" t="str">
        <x:v>two_piece</x:v>
      </x:c>
      <x:c r="C7" s="10" t="str">
        <x:v>Двухсоставной</x:v>
      </x:c>
      <x:c r="D7" s="10" t="str">
        <x:v>Two-piece</x:v>
      </x:c>
      <x:c r="E7" s="20" t="n">
        <x:v>20</x:v>
      </x:c>
      <x:c r="F7" s="17" t="b">
        <x:v>1</x:v>
      </x:c>
      <x:c r="G7" s="10" t="str">
        <x:v>published</x:v>
      </x:c>
      <x:c r="H7" s="10" t="str">
        <x:v>internal_demo</x:v>
      </x:c>
      <x:c r="I7" s="10" t="str">
        <x:v>SRC-INTERNAL-DEMO-20260726</x:v>
      </x:c>
    </x:row>
    <x:row r="8" ht="15" hidden="0" customHeight="1">
      <x:c r="A8" s="9" t="str">
        <x:v>construction_type</x:v>
      </x:c>
      <x:c r="B8" s="9" t="str">
        <x:v>three_piece</x:v>
      </x:c>
      <x:c r="C8" s="9" t="str">
        <x:v>Трёхсоставной</x:v>
      </x:c>
      <x:c r="D8" s="9" t="str">
        <x:v>Three-piece</x:v>
      </x:c>
      <x:c r="E8" s="19" t="n">
        <x:v>30</x:v>
      </x:c>
      <x:c r="F8" s="16" t="b">
        <x:v>1</x:v>
      </x:c>
      <x:c r="G8" s="9" t="str">
        <x:v>published</x:v>
      </x:c>
      <x:c r="H8" s="9" t="str">
        <x:v>internal_demo</x:v>
      </x:c>
      <x:c r="I8" s="9" t="str">
        <x:v>SRC-INTERNAL-DEMO-20260726</x:v>
      </x:c>
    </x:row>
    <x:row r="9" ht="15" hidden="0" customHeight="1">
      <x:c r="A9" s="10" t="str">
        <x:v>beadlock_type</x:v>
      </x:c>
      <x:c r="B9" s="10" t="str">
        <x:v>none</x:v>
      </x:c>
      <x:c r="C9" s="10" t="str">
        <x:v>Без beadlock</x:v>
      </x:c>
      <x:c r="D9" s="10" t="str">
        <x:v>None</x:v>
      </x:c>
      <x:c r="E9" s="20" t="n">
        <x:v>10</x:v>
      </x:c>
      <x:c r="F9" s="17" t="b">
        <x:v>1</x:v>
      </x:c>
      <x:c r="G9" s="10" t="str">
        <x:v>published</x:v>
      </x:c>
      <x:c r="H9" s="10" t="str">
        <x:v>internal_demo</x:v>
      </x:c>
      <x:c r="I9" s="10" t="str">
        <x:v>SRC-INTERNAL-DEMO-20260726</x:v>
      </x:c>
    </x:row>
    <x:row r="10" ht="15" hidden="0" customHeight="1">
      <x:c r="A10" s="9" t="str">
        <x:v>beadlock_type</x:v>
      </x:c>
      <x:c r="B10" s="9" t="str">
        <x:v>simulated</x:v>
      </x:c>
      <x:c r="C10" s="9" t="str">
        <x:v>Декоративный beadlock</x:v>
      </x:c>
      <x:c r="D10" s="9" t="str">
        <x:v>Simulated</x:v>
      </x:c>
      <x:c r="E10" s="19" t="n">
        <x:v>20</x:v>
      </x:c>
      <x:c r="F10" s="16" t="b">
        <x:v>1</x:v>
      </x:c>
      <x:c r="G10" s="9" t="str">
        <x:v>published</x:v>
      </x:c>
      <x:c r="H10" s="9" t="str">
        <x:v>internal_demo</x:v>
      </x:c>
      <x:c r="I10" s="9" t="str">
        <x:v>SRC-INTERNAL-DEMO-20260726</x:v>
      </x:c>
    </x:row>
    <x:row r="11" ht="15" hidden="0" customHeight="1">
      <x:c r="A11" s="10" t="str">
        <x:v>beadlock_type</x:v>
      </x:c>
      <x:c r="B11" s="10" t="str">
        <x:v>functional</x:v>
      </x:c>
      <x:c r="C11" s="10" t="str">
        <x:v>Функциональный beadlock</x:v>
      </x:c>
      <x:c r="D11" s="10" t="str">
        <x:v>Functional</x:v>
      </x:c>
      <x:c r="E11" s="20" t="n">
        <x:v>30</x:v>
      </x:c>
      <x:c r="F11" s="17" t="b">
        <x:v>1</x:v>
      </x:c>
      <x:c r="G11" s="10" t="str">
        <x:v>published</x:v>
      </x:c>
      <x:c r="H11" s="10" t="str">
        <x:v>internal_demo</x:v>
      </x:c>
      <x:c r="I11" s="10" t="str">
        <x:v>SRC-INTERNAL-DEMO-20260726</x:v>
      </x:c>
    </x:row>
    <x:row r="12" ht="15" hidden="0" customHeight="1">
      <x:c r="A12" s="9" t="str">
        <x:v>face_profile</x:v>
      </x:c>
      <x:c r="B12" s="9" t="str">
        <x:v>flat</x:v>
      </x:c>
      <x:c r="C12" s="9" t="str">
        <x:v>Плоский</x:v>
      </x:c>
      <x:c r="D12" s="9" t="str">
        <x:v>Flat</x:v>
      </x:c>
      <x:c r="E12" s="19" t="n">
        <x:v>10</x:v>
      </x:c>
      <x:c r="F12" s="16" t="b">
        <x:v>1</x:v>
      </x:c>
      <x:c r="G12" s="9" t="str">
        <x:v>published</x:v>
      </x:c>
      <x:c r="H12" s="9" t="str">
        <x:v>internal_demo</x:v>
      </x:c>
      <x:c r="I12" s="9" t="str">
        <x:v>SRC-INTERNAL-DEMO-20260726</x:v>
      </x:c>
    </x:row>
    <x:row r="13" ht="15" hidden="0" customHeight="1">
      <x:c r="A13" s="10" t="str">
        <x:v>face_profile</x:v>
      </x:c>
      <x:c r="B13" s="10" t="str">
        <x:v>concave</x:v>
      </x:c>
      <x:c r="C13" s="10" t="str">
        <x:v>Вогнутый</x:v>
      </x:c>
      <x:c r="D13" s="10" t="str">
        <x:v>Concave</x:v>
      </x:c>
      <x:c r="E13" s="20" t="n">
        <x:v>20</x:v>
      </x:c>
      <x:c r="F13" s="17" t="b">
        <x:v>1</x:v>
      </x:c>
      <x:c r="G13" s="10" t="str">
        <x:v>published</x:v>
      </x:c>
      <x:c r="H13" s="10" t="str">
        <x:v>internal_demo</x:v>
      </x:c>
      <x:c r="I13" s="10" t="str">
        <x:v>SRC-INTERNAL-DEMO-20260726</x:v>
      </x:c>
    </x:row>
    <x:row r="14" ht="15" hidden="0" customHeight="1">
      <x:c r="A14" s="9" t="str">
        <x:v>face_profile</x:v>
      </x:c>
      <x:c r="B14" s="9" t="str">
        <x:v>deep_concave</x:v>
      </x:c>
      <x:c r="C14" s="9" t="str">
        <x:v>Глубоко вогнутый</x:v>
      </x:c>
      <x:c r="D14" s="9" t="str">
        <x:v>Deep concave</x:v>
      </x:c>
      <x:c r="E14" s="19" t="n">
        <x:v>30</x:v>
      </x:c>
      <x:c r="F14" s="16" t="b">
        <x:v>1</x:v>
      </x:c>
      <x:c r="G14" s="9" t="str">
        <x:v>published</x:v>
      </x:c>
      <x:c r="H14" s="9" t="str">
        <x:v>internal_demo</x:v>
      </x:c>
      <x:c r="I14" s="9" t="str">
        <x:v>SRC-INTERNAL-DEMO-20260726</x:v>
      </x:c>
    </x:row>
    <x:row r="15" ht="15" hidden="0" customHeight="1">
      <x:c r="A15" s="10" t="str">
        <x:v>sale_mode</x:v>
      </x:c>
      <x:c r="B15" s="10" t="str">
        <x:v>stock</x:v>
      </x:c>
      <x:c r="C15" s="10" t="str">
        <x:v>Складской SKU</x:v>
      </x:c>
      <x:c r="D15" s="10" t="str">
        <x:v>Stock SKU</x:v>
      </x:c>
      <x:c r="E15" s="20" t="n">
        <x:v>10</x:v>
      </x:c>
      <x:c r="F15" s="17" t="b">
        <x:v>1</x:v>
      </x:c>
      <x:c r="G15" s="10" t="str">
        <x:v>published</x:v>
      </x:c>
      <x:c r="H15" s="10" t="str">
        <x:v>internal_demo</x:v>
      </x:c>
      <x:c r="I15" s="10" t="str">
        <x:v>SRC-INTERNAL-DEMO-20260726</x:v>
      </x:c>
    </x:row>
    <x:row r="16" ht="15" hidden="0" customHeight="1">
      <x:c r="A16" s="9" t="str">
        <x:v>sale_mode</x:v>
      </x:c>
      <x:c r="B16" s="9" t="str">
        <x:v>made_to_order</x:v>
      </x:c>
      <x:c r="C16" s="9" t="str">
        <x:v>Под заказ</x:v>
      </x:c>
      <x:c r="D16" s="9" t="str">
        <x:v>Made to order</x:v>
      </x:c>
      <x:c r="E16" s="19" t="n">
        <x:v>20</x:v>
      </x:c>
      <x:c r="F16" s="16" t="b">
        <x:v>1</x:v>
      </x:c>
      <x:c r="G16" s="9" t="str">
        <x:v>published</x:v>
      </x:c>
      <x:c r="H16" s="9" t="str">
        <x:v>internal_demo</x:v>
      </x:c>
      <x:c r="I16" s="9" t="str">
        <x:v>SRC-INTERNAL-DEMO-20260726</x:v>
      </x:c>
    </x:row>
    <x:row r="17" ht="15" hidden="0" customHeight="1">
      <x:c r="A17" s="10" t="str">
        <x:v>fitment_status</x:v>
      </x:c>
      <x:c r="B17" s="10" t="str">
        <x:v>compatible</x:v>
      </x:c>
      <x:c r="C17" s="10" t="str">
        <x:v>Совместимо</x:v>
      </x:c>
      <x:c r="D17" s="10" t="str">
        <x:v>Compatible</x:v>
      </x:c>
      <x:c r="E17" s="20" t="n">
        <x:v>10</x:v>
      </x:c>
      <x:c r="F17" s="17" t="b">
        <x:v>1</x:v>
      </x:c>
      <x:c r="G17" s="10" t="str">
        <x:v>published</x:v>
      </x:c>
      <x:c r="H17" s="10" t="str">
        <x:v>internal_demo</x:v>
      </x:c>
      <x:c r="I17" s="10" t="str">
        <x:v>SRC-INTERNAL-DEMO-20260726</x:v>
      </x:c>
    </x:row>
    <x:row r="18" ht="15" hidden="0" customHeight="1">
      <x:c r="A18" s="9" t="str">
        <x:v>fitment_status</x:v>
      </x:c>
      <x:c r="B18" s="9" t="str">
        <x:v>conditional</x:v>
      </x:c>
      <x:c r="C18" s="9" t="str">
        <x:v>Совместимо с условиями</x:v>
      </x:c>
      <x:c r="D18" s="9" t="str">
        <x:v>Compatible with conditions</x:v>
      </x:c>
      <x:c r="E18" s="19" t="n">
        <x:v>20</x:v>
      </x:c>
      <x:c r="F18" s="16" t="b">
        <x:v>1</x:v>
      </x:c>
      <x:c r="G18" s="9" t="str">
        <x:v>published</x:v>
      </x:c>
      <x:c r="H18" s="9" t="str">
        <x:v>internal_demo</x:v>
      </x:c>
      <x:c r="I18" s="9" t="str">
        <x:v>SRC-INTERNAL-DEMO-20260726</x:v>
      </x:c>
    </x:row>
    <x:row r="19" ht="24" hidden="0" customHeight="1">
      <x:c r="A19" s="10" t="str">
        <x:v>fitment_status</x:v>
      </x:c>
      <x:c r="B19" s="10" t="str">
        <x:v>requires_verification</x:v>
      </x:c>
      <x:c r="C19" s="10" t="str">
        <x:v>Требуется проверка</x:v>
      </x:c>
      <x:c r="D19" s="10" t="str">
        <x:v>Requires verification</x:v>
      </x:c>
      <x:c r="E19" s="20" t="n">
        <x:v>30</x:v>
      </x:c>
      <x:c r="F19" s="17" t="b">
        <x:v>1</x:v>
      </x:c>
      <x:c r="G19" s="10" t="str">
        <x:v>published</x:v>
      </x:c>
      <x:c r="H19" s="10" t="str">
        <x:v>internal_demo</x:v>
      </x:c>
      <x:c r="I19" s="10" t="str">
        <x:v>SRC-INTERNAL-DEMO-20260726</x:v>
      </x:c>
    </x:row>
    <x:row r="20" ht="15" hidden="0" customHeight="1">
      <x:c r="A20" s="9" t="str">
        <x:v>fitment_status</x:v>
      </x:c>
      <x:c r="B20" s="9" t="str">
        <x:v>incompatible</x:v>
      </x:c>
      <x:c r="C20" s="9" t="str">
        <x:v>Несовместимо</x:v>
      </x:c>
      <x:c r="D20" s="9" t="str">
        <x:v>Incompatible</x:v>
      </x:c>
      <x:c r="E20" s="19" t="n">
        <x:v>40</x:v>
      </x:c>
      <x:c r="F20" s="16" t="b">
        <x:v>1</x:v>
      </x:c>
      <x:c r="G20" s="9" t="str">
        <x:v>published</x:v>
      </x:c>
      <x:c r="H20" s="9" t="str">
        <x:v>internal_demo</x:v>
      </x:c>
      <x:c r="I20" s="9" t="str">
        <x:v>SRC-INTERNAL-DEMO-20260726</x:v>
      </x:c>
    </x:row>
    <x:row r="21" ht="15" hidden="0" customHeight="1">
      <x:c r="A21" s="10" t="str">
        <x:v>axle_position</x:v>
      </x:c>
      <x:c r="B21" s="10" t="str">
        <x:v>front</x:v>
      </x:c>
      <x:c r="C21" s="10" t="str">
        <x:v>Передняя ось</x:v>
      </x:c>
      <x:c r="D21" s="10" t="str">
        <x:v>Front axle</x:v>
      </x:c>
      <x:c r="E21" s="20" t="n">
        <x:v>10</x:v>
      </x:c>
      <x:c r="F21" s="17" t="b">
        <x:v>1</x:v>
      </x:c>
      <x:c r="G21" s="10" t="str">
        <x:v>published</x:v>
      </x:c>
      <x:c r="H21" s="10" t="str">
        <x:v>internal_demo</x:v>
      </x:c>
      <x:c r="I21" s="10" t="str">
        <x:v>SRC-INTERNAL-DEMO-20260726</x:v>
      </x:c>
    </x:row>
    <x:row r="22" ht="15" hidden="0" customHeight="1">
      <x:c r="A22" s="9" t="str">
        <x:v>axle_position</x:v>
      </x:c>
      <x:c r="B22" s="9" t="str">
        <x:v>rear</x:v>
      </x:c>
      <x:c r="C22" s="9" t="str">
        <x:v>Задняя ось</x:v>
      </x:c>
      <x:c r="D22" s="9" t="str">
        <x:v>Rear axle</x:v>
      </x:c>
      <x:c r="E22" s="19" t="n">
        <x:v>20</x:v>
      </x:c>
      <x:c r="F22" s="16" t="b">
        <x:v>1</x:v>
      </x:c>
      <x:c r="G22" s="9" t="str">
        <x:v>published</x:v>
      </x:c>
      <x:c r="H22" s="9" t="str">
        <x:v>internal_demo</x:v>
      </x:c>
      <x:c r="I22" s="9" t="str">
        <x:v>SRC-INTERNAL-DEMO-20260726</x:v>
      </x:c>
    </x:row>
    <x:row r="23" ht="15" hidden="0" customHeight="1">
      <x:c r="A23" s="10" t="str">
        <x:v>recommended_use</x:v>
      </x:c>
      <x:c r="B23" s="10" t="str">
        <x:v>street</x:v>
      </x:c>
      <x:c r="C23" s="10" t="str">
        <x:v>Город / дорога</x:v>
      </x:c>
      <x:c r="D23" s="10" t="str">
        <x:v>Street</x:v>
      </x:c>
      <x:c r="E23" s="20" t="n">
        <x:v>10</x:v>
      </x:c>
      <x:c r="F23" s="17" t="b">
        <x:v>1</x:v>
      </x:c>
      <x:c r="G23" s="10" t="str">
        <x:v>published</x:v>
      </x:c>
      <x:c r="H23" s="10" t="str">
        <x:v>internal_demo</x:v>
      </x:c>
      <x:c r="I23" s="10" t="str">
        <x:v>SRC-INTERNAL-DEMO-20260726</x:v>
      </x:c>
    </x:row>
    <x:row r="24" ht="15" hidden="0" customHeight="1">
      <x:c r="A24" s="9" t="str">
        <x:v>recommended_use</x:v>
      </x:c>
      <x:c r="B24" s="9" t="str">
        <x:v>performance</x:v>
      </x:c>
      <x:c r="C24" s="9" t="str">
        <x:v>Performance</x:v>
      </x:c>
      <x:c r="D24" s="9" t="str">
        <x:v>Performance</x:v>
      </x:c>
      <x:c r="E24" s="19" t="n">
        <x:v>20</x:v>
      </x:c>
      <x:c r="F24" s="16" t="b">
        <x:v>1</x:v>
      </x:c>
      <x:c r="G24" s="9" t="str">
        <x:v>published</x:v>
      </x:c>
      <x:c r="H24" s="9" t="str">
        <x:v>internal_demo</x:v>
      </x:c>
      <x:c r="I24" s="9" t="str">
        <x:v>SRC-INTERNAL-DEMO-20260726</x:v>
      </x:c>
    </x:row>
    <x:row r="25" ht="15" hidden="0" customHeight="1">
      <x:c r="A25" s="10" t="str">
        <x:v>recommended_use</x:v>
      </x:c>
      <x:c r="B25" s="10" t="str">
        <x:v>offroad</x:v>
      </x:c>
      <x:c r="C25" s="10" t="str">
        <x:v>Бездорожье</x:v>
      </x:c>
      <x:c r="D25" s="10" t="str">
        <x:v>Off-road</x:v>
      </x:c>
      <x:c r="E25" s="20" t="n">
        <x:v>30</x:v>
      </x:c>
      <x:c r="F25" s="17" t="b">
        <x:v>1</x:v>
      </x:c>
      <x:c r="G25" s="10" t="str">
        <x:v>published</x:v>
      </x:c>
      <x:c r="H25" s="10" t="str">
        <x:v>internal_demo</x:v>
      </x:c>
      <x:c r="I25" s="10" t="str">
        <x:v>SRC-INTERNAL-DEMO-20260726</x:v>
      </x:c>
    </x:row>
    <x:row r="26" ht="15" hidden="0" customHeight="1">
      <x:c r="A26" s="9" t="str">
        <x:v>lip_style</x:v>
      </x:c>
      <x:c r="B26" s="9" t="str">
        <x:v>flush</x:v>
      </x:c>
      <x:c r="C26" s="9" t="str">
        <x:v>Без выраженной полки</x:v>
      </x:c>
      <x:c r="D26" s="9" t="str">
        <x:v>Flush</x:v>
      </x:c>
      <x:c r="E26" s="19" t="n">
        <x:v>10</x:v>
      </x:c>
      <x:c r="F26" s="16" t="b">
        <x:v>1</x:v>
      </x:c>
      <x:c r="G26" s="9" t="str">
        <x:v>published</x:v>
      </x:c>
      <x:c r="H26" s="9" t="str">
        <x:v>internal_demo</x:v>
      </x:c>
      <x:c r="I26" s="9" t="str">
        <x:v>SRC-INTERNAL-DEMO-20260726</x:v>
      </x:c>
    </x:row>
    <x:row r="27" ht="15" hidden="0" customHeight="1">
      <x:c r="A27" s="10" t="str">
        <x:v>lip_style</x:v>
      </x:c>
      <x:c r="B27" s="10" t="str">
        <x:v>stepped</x:v>
      </x:c>
      <x:c r="C27" s="10" t="str">
        <x:v>Ступенчатая полка</x:v>
      </x:c>
      <x:c r="D27" s="10" t="str">
        <x:v>Stepped</x:v>
      </x:c>
      <x:c r="E27" s="20" t="n">
        <x:v>20</x:v>
      </x:c>
      <x:c r="F27" s="17" t="b">
        <x:v>1</x:v>
      </x:c>
      <x:c r="G27" s="10" t="str">
        <x:v>published</x:v>
      </x:c>
      <x:c r="H27" s="10" t="str">
        <x:v>internal_demo</x:v>
      </x:c>
      <x:c r="I27" s="10" t="str">
        <x:v>SRC-INTERNAL-DEMO-20260726</x:v>
      </x:c>
    </x:row>
    <x:row r="28" ht="15" hidden="0" customHeight="1">
      <x:c r="A28" s="9" t="str">
        <x:v>lip_style</x:v>
      </x:c>
      <x:c r="B28" s="9" t="str">
        <x:v>deep</x:v>
      </x:c>
      <x:c r="C28" s="9" t="str">
        <x:v>Глубокая полка</x:v>
      </x:c>
      <x:c r="D28" s="9" t="str">
        <x:v>Deep</x:v>
      </x:c>
      <x:c r="E28" s="19" t="n">
        <x:v>30</x:v>
      </x:c>
      <x:c r="F28" s="16" t="b">
        <x:v>1</x:v>
      </x:c>
      <x:c r="G28" s="9" t="str">
        <x:v>published</x:v>
      </x:c>
      <x:c r="H28" s="9" t="str">
        <x:v>internal_demo</x:v>
      </x:c>
      <x:c r="I28" s="9" t="str">
        <x:v>SRC-INTERNAL-DEMO-20260726</x:v>
      </x:c>
    </x:row>
    <x:row r="29" ht="15" hidden="0" customHeight="1">
      <x:c r="A29" s="10" t="str">
        <x:v>finish_type</x:v>
      </x:c>
      <x:c r="B29" s="10" t="str">
        <x:v>satin_black</x:v>
      </x:c>
      <x:c r="C29" s="10" t="str">
        <x:v>Чёрный сатин</x:v>
      </x:c>
      <x:c r="D29" s="10" t="str">
        <x:v>Satin black</x:v>
      </x:c>
      <x:c r="E29" s="20" t="n">
        <x:v>10</x:v>
      </x:c>
      <x:c r="F29" s="17" t="b">
        <x:v>1</x:v>
      </x:c>
      <x:c r="G29" s="10" t="str">
        <x:v>published</x:v>
      </x:c>
      <x:c r="H29" s="10" t="str">
        <x:v>internal_demo</x:v>
      </x:c>
      <x:c r="I29" s="10" t="str">
        <x:v>SRC-INTERNAL-DEMO-20260726</x:v>
      </x:c>
    </x:row>
    <x:row r="30" ht="15" hidden="0" customHeight="1">
      <x:c r="A30" s="9" t="str">
        <x:v>finish_type</x:v>
      </x:c>
      <x:c r="B30" s="9" t="str">
        <x:v>graphite</x:v>
      </x:c>
      <x:c r="C30" s="9" t="str">
        <x:v>Графит</x:v>
      </x:c>
      <x:c r="D30" s="9" t="str">
        <x:v>Graphite</x:v>
      </x:c>
      <x:c r="E30" s="19" t="n">
        <x:v>20</x:v>
      </x:c>
      <x:c r="F30" s="16" t="b">
        <x:v>1</x:v>
      </x:c>
      <x:c r="G30" s="9" t="str">
        <x:v>published</x:v>
      </x:c>
      <x:c r="H30" s="9" t="str">
        <x:v>internal_demo</x:v>
      </x:c>
      <x:c r="I30" s="9" t="str">
        <x:v>SRC-INTERNAL-DEMO-20260726</x:v>
      </x:c>
    </x:row>
    <x:row r="31" ht="15" hidden="0" customHeight="1">
      <x:c r="A31" s="10" t="str">
        <x:v>finish_type</x:v>
      </x:c>
      <x:c r="B31" s="10" t="str">
        <x:v>bronze</x:v>
      </x:c>
      <x:c r="C31" s="10" t="str">
        <x:v>Бронза</x:v>
      </x:c>
      <x:c r="D31" s="10" t="str">
        <x:v>Bronze</x:v>
      </x:c>
      <x:c r="E31" s="20" t="n">
        <x:v>30</x:v>
      </x:c>
      <x:c r="F31" s="17" t="b">
        <x:v>1</x:v>
      </x:c>
      <x:c r="G31" s="10" t="str">
        <x:v>published</x:v>
      </x:c>
      <x:c r="H31" s="10" t="str">
        <x:v>internal_demo</x:v>
      </x:c>
      <x:c r="I31" s="10" t="str">
        <x:v>SRC-INTERNAL-DEMO-20260726</x:v>
      </x:c>
    </x:row>
    <x:row r="32" ht="15" hidden="0" customHeight="1">
      <x:c r="A32" s="9" t="str">
        <x:v>finish_type</x:v>
      </x:c>
      <x:c r="B32" s="9" t="str">
        <x:v>red</x:v>
      </x:c>
      <x:c r="C32" s="9" t="str">
        <x:v>Красный</x:v>
      </x:c>
      <x:c r="D32" s="9" t="str">
        <x:v>Red</x:v>
      </x:c>
      <x:c r="E32" s="19" t="n">
        <x:v>40</x:v>
      </x:c>
      <x:c r="F32" s="16" t="b">
        <x:v>1</x:v>
      </x:c>
      <x:c r="G32" s="9" t="str">
        <x:v>published</x:v>
      </x:c>
      <x:c r="H32" s="9" t="str">
        <x:v>internal_demo</x:v>
      </x:c>
      <x:c r="I32" s="9" t="str">
        <x:v>SRC-INTERNAL-DEMO-20260726</x:v>
      </x:c>
    </x:row>
    <x:row r="33" ht="24" hidden="0" customHeight="1">
      <x:c r="A33" s="10" t="str">
        <x:v>finish_type</x:v>
      </x:c>
      <x:c r="B33" s="10" t="str">
        <x:v>machined_silver</x:v>
      </x:c>
      <x:c r="C33" s="10" t="str">
        <x:v>Механическая обработка / серебро</x:v>
      </x:c>
      <x:c r="D33" s="10" t="str">
        <x:v>Machined silver</x:v>
      </x:c>
      <x:c r="E33" s="20" t="n">
        <x:v>50</x:v>
      </x:c>
      <x:c r="F33" s="17" t="b">
        <x:v>1</x:v>
      </x:c>
      <x:c r="G33" s="10" t="str">
        <x:v>published</x:v>
      </x:c>
      <x:c r="H33" s="10" t="str">
        <x:v>internal_demo</x:v>
      </x:c>
      <x:c r="I33" s="10" t="str">
        <x:v>SRC-INTERNAL-DEMO-20260726</x:v>
      </x:c>
    </x:row>
    <x:row r="34" ht="24" hidden="0" customHeight="1">
      <x:c r="A34" s="9" t="str">
        <x:v>finish_type</x:v>
      </x:c>
      <x:c r="B34" s="9" t="str">
        <x:v>brushed_clear</x:v>
      </x:c>
      <x:c r="C34" s="9" t="str">
        <x:v>Шлифованный металл / прозрачный лак</x:v>
      </x:c>
      <x:c r="D34" s="9" t="str">
        <x:v>Brushed clear</x:v>
      </x:c>
      <x:c r="E34" s="19" t="n">
        <x:v>60</x:v>
      </x:c>
      <x:c r="F34" s="16" t="b">
        <x:v>1</x:v>
      </x:c>
      <x:c r="G34" s="9" t="str">
        <x:v>published</x:v>
      </x:c>
      <x:c r="H34" s="9" t="str">
        <x:v>internal_demo</x:v>
      </x:c>
      <x:c r="I34" s="9" t="str">
        <x:v>SRC-INTERNAL-DEMO-20260726</x:v>
      </x:c>
    </x:row>
    <x:row r="35" ht="15" hidden="0" customHeight="1">
      <x:c r="A35" s="10" t="str">
        <x:v>finish_type</x:v>
      </x:c>
      <x:c r="B35" s="10" t="str">
        <x:v>dark_graphite</x:v>
      </x:c>
      <x:c r="C35" s="10" t="str">
        <x:v>Тёмный графит</x:v>
      </x:c>
      <x:c r="D35" s="10" t="str">
        <x:v>Dark graphite</x:v>
      </x:c>
      <x:c r="E35" s="20" t="n">
        <x:v>70</x:v>
      </x:c>
      <x:c r="F35" s="17" t="b">
        <x:v>1</x:v>
      </x:c>
      <x:c r="G35" s="10" t="str">
        <x:v>published</x:v>
      </x:c>
      <x:c r="H35" s="10" t="str">
        <x:v>internal_demo</x:v>
      </x:c>
      <x:c r="I35" s="10" t="str">
        <x:v>SRC-INTERNAL-DEMO-20260726</x:v>
      </x:c>
    </x:row>
    <x:row r="36" ht="15" hidden="0" customHeight="1">
      <x:c r="A36" s="9" t="str">
        <x:v>color</x:v>
      </x:c>
      <x:c r="B36" s="9" t="str">
        <x:v>black</x:v>
      </x:c>
      <x:c r="C36" s="9" t="str">
        <x:v>Чёрный</x:v>
      </x:c>
      <x:c r="D36" s="9" t="str">
        <x:v>Black</x:v>
      </x:c>
      <x:c r="E36" s="19" t="n">
        <x:v>10</x:v>
      </x:c>
      <x:c r="F36" s="16" t="b">
        <x:v>1</x:v>
      </x:c>
      <x:c r="G36" s="9" t="str">
        <x:v>published</x:v>
      </x:c>
      <x:c r="H36" s="9" t="str">
        <x:v>internal_demo</x:v>
      </x:c>
      <x:c r="I36" s="9" t="str">
        <x:v>SRC-INTERNAL-DEMO-20260726</x:v>
      </x:c>
    </x:row>
    <x:row r="37" ht="15" hidden="0" customHeight="1">
      <x:c r="A37" s="10" t="str">
        <x:v>color</x:v>
      </x:c>
      <x:c r="B37" s="10" t="str">
        <x:v>graphite</x:v>
      </x:c>
      <x:c r="C37" s="10" t="str">
        <x:v>Графитовый</x:v>
      </x:c>
      <x:c r="D37" s="10" t="str">
        <x:v>Graphite</x:v>
      </x:c>
      <x:c r="E37" s="20" t="n">
        <x:v>20</x:v>
      </x:c>
      <x:c r="F37" s="17" t="b">
        <x:v>1</x:v>
      </x:c>
      <x:c r="G37" s="10" t="str">
        <x:v>published</x:v>
      </x:c>
      <x:c r="H37" s="10" t="str">
        <x:v>internal_demo</x:v>
      </x:c>
      <x:c r="I37" s="10" t="str">
        <x:v>SRC-INTERNAL-DEMO-20260726</x:v>
      </x:c>
    </x:row>
    <x:row r="38" ht="15" hidden="0" customHeight="1">
      <x:c r="A38" s="9" t="str">
        <x:v>color</x:v>
      </x:c>
      <x:c r="B38" s="9" t="str">
        <x:v>bronze</x:v>
      </x:c>
      <x:c r="C38" s="9" t="str">
        <x:v>Бронзовый</x:v>
      </x:c>
      <x:c r="D38" s="9" t="str">
        <x:v>Bronze</x:v>
      </x:c>
      <x:c r="E38" s="19" t="n">
        <x:v>30</x:v>
      </x:c>
      <x:c r="F38" s="16" t="b">
        <x:v>1</x:v>
      </x:c>
      <x:c r="G38" s="9" t="str">
        <x:v>published</x:v>
      </x:c>
      <x:c r="H38" s="9" t="str">
        <x:v>internal_demo</x:v>
      </x:c>
      <x:c r="I38" s="9" t="str">
        <x:v>SRC-INTERNAL-DEMO-20260726</x:v>
      </x:c>
    </x:row>
    <x:row r="39" ht="15" hidden="0" customHeight="1">
      <x:c r="A39" s="10" t="str">
        <x:v>color</x:v>
      </x:c>
      <x:c r="B39" s="10" t="str">
        <x:v>red</x:v>
      </x:c>
      <x:c r="C39" s="10" t="str">
        <x:v>Красный</x:v>
      </x:c>
      <x:c r="D39" s="10" t="str">
        <x:v>Red</x:v>
      </x:c>
      <x:c r="E39" s="20" t="n">
        <x:v>40</x:v>
      </x:c>
      <x:c r="F39" s="17" t="b">
        <x:v>1</x:v>
      </x:c>
      <x:c r="G39" s="10" t="str">
        <x:v>published</x:v>
      </x:c>
      <x:c r="H39" s="10" t="str">
        <x:v>internal_demo</x:v>
      </x:c>
      <x:c r="I39" s="10" t="str">
        <x:v>SRC-INTERNAL-DEMO-20260726</x:v>
      </x:c>
    </x:row>
    <x:row r="40" ht="15" hidden="0" customHeight="1">
      <x:c r="A40" s="9" t="str">
        <x:v>color</x:v>
      </x:c>
      <x:c r="B40" s="9" t="str">
        <x:v>silver</x:v>
      </x:c>
      <x:c r="C40" s="9" t="str">
        <x:v>Серебристый</x:v>
      </x:c>
      <x:c r="D40" s="9" t="str">
        <x:v>Silver</x:v>
      </x:c>
      <x:c r="E40" s="19" t="n">
        <x:v>50</x:v>
      </x:c>
      <x:c r="F40" s="16" t="b">
        <x:v>1</x:v>
      </x:c>
      <x:c r="G40" s="9" t="str">
        <x:v>published</x:v>
      </x:c>
      <x:c r="H40" s="9" t="str">
        <x:v>internal_demo</x:v>
      </x:c>
      <x:c r="I40" s="9" t="str">
        <x:v>SRC-INTERNAL-DEMO-20260726</x:v>
      </x:c>
    </x:row>
    <x:row r="41" ht="24" hidden="0" customHeight="1">
      <x:c r="A41" s="10" t="str">
        <x:v>source_type</x:v>
      </x:c>
      <x:c r="B41" s="10" t="str">
        <x:v>internal_demo</x:v>
      </x:c>
      <x:c r="C41" s="10" t="str">
        <x:v>Внутренние демонстрационные данные</x:v>
      </x:c>
      <x:c r="D41" s="10" t="str">
        <x:v>Internal demo</x:v>
      </x:c>
      <x:c r="E41" s="20" t="n">
        <x:v>10</x:v>
      </x:c>
      <x:c r="F41" s="17" t="b">
        <x:v>1</x:v>
      </x:c>
      <x:c r="G41" s="10" t="str">
        <x:v>published</x:v>
      </x:c>
      <x:c r="H41" s="10" t="str">
        <x:v>internal_demo</x:v>
      </x:c>
      <x:c r="I41" s="10" t="str">
        <x:v>SRC-INTERNAL-DEMO-20260726</x:v>
      </x:c>
    </x:row>
    <x:row r="42" ht="15" hidden="0" customHeight="1">
      <x:c r="A42" s="9" t="str">
        <x:v>source_type</x:v>
      </x:c>
      <x:c r="B42" s="9" t="str">
        <x:v>repository</x:v>
      </x:c>
      <x:c r="C42" s="9" t="str">
        <x:v>Репозиторий проекта</x:v>
      </x:c>
      <x:c r="D42" s="9" t="str">
        <x:v>Repository</x:v>
      </x:c>
      <x:c r="E42" s="19" t="n">
        <x:v>20</x:v>
      </x:c>
      <x:c r="F42" s="16" t="b">
        <x:v>1</x:v>
      </x:c>
      <x:c r="G42" s="9" t="str">
        <x:v>published</x:v>
      </x:c>
      <x:c r="H42" s="9" t="str">
        <x:v>internal_demo</x:v>
      </x:c>
      <x:c r="I42" s="9" t="str">
        <x:v>SRC-INTERNAL-DEMO-20260726</x:v>
      </x:c>
    </x:row>
    <x:row r="43" ht="15" hidden="0" customHeight="1">
      <x:c r="A43" s="10" t="str">
        <x:v>source_type</x:v>
      </x:c>
      <x:c r="B43" s="10" t="str">
        <x:v>calculated</x:v>
      </x:c>
      <x:c r="C43" s="10" t="str">
        <x:v>Вычисляемые данные</x:v>
      </x:c>
      <x:c r="D43" s="10" t="str">
        <x:v>Calculated</x:v>
      </x:c>
      <x:c r="E43" s="20" t="n">
        <x:v>30</x:v>
      </x:c>
      <x:c r="F43" s="17" t="b">
        <x:v>1</x:v>
      </x:c>
      <x:c r="G43" s="10" t="str">
        <x:v>published</x:v>
      </x:c>
      <x:c r="H43" s="10" t="str">
        <x:v>internal_demo</x:v>
      </x:c>
      <x:c r="I43" s="10" t="str">
        <x:v>SRC-INTERNAL-DEMO-20260726</x:v>
      </x:c>
    </x:row>
    <x:row r="44" ht="15" hidden="0" customHeight="1">
      <x:c r="A44" s="9" t="str">
        <x:v>entity_scope</x:v>
      </x:c>
      <x:c r="B44" s="9" t="str">
        <x:v>model</x:v>
      </x:c>
      <x:c r="C44" s="9" t="str">
        <x:v>Модель</x:v>
      </x:c>
      <x:c r="D44" s="9" t="str">
        <x:v>Model</x:v>
      </x:c>
      <x:c r="E44" s="19" t="n">
        <x:v>10</x:v>
      </x:c>
      <x:c r="F44" s="16" t="b">
        <x:v>1</x:v>
      </x:c>
      <x:c r="G44" s="9" t="str">
        <x:v>published</x:v>
      </x:c>
      <x:c r="H44" s="9" t="str">
        <x:v>internal_demo</x:v>
      </x:c>
      <x:c r="I44" s="9" t="str">
        <x:v>SRC-INTERNAL-DEMO-20260726</x:v>
      </x:c>
    </x:row>
    <x:row r="45" ht="15" hidden="0" customHeight="1">
      <x:c r="A45" s="10" t="str">
        <x:v>entity_scope</x:v>
      </x:c>
      <x:c r="B45" s="10" t="str">
        <x:v>variant</x:v>
      </x:c>
      <x:c r="C45" s="10" t="str">
        <x:v>Вариант</x:v>
      </x:c>
      <x:c r="D45" s="10" t="str">
        <x:v>Variant</x:v>
      </x:c>
      <x:c r="E45" s="20" t="n">
        <x:v>20</x:v>
      </x:c>
      <x:c r="F45" s="17" t="b">
        <x:v>1</x:v>
      </x:c>
      <x:c r="G45" s="10" t="str">
        <x:v>published</x:v>
      </x:c>
      <x:c r="H45" s="10" t="str">
        <x:v>internal_demo</x:v>
      </x:c>
      <x:c r="I45" s="10" t="str">
        <x:v>SRC-INTERNAL-DEMO-20260726</x:v>
      </x:c>
    </x:row>
    <x:row r="46" ht="24" hidden="0" customHeight="1">
      <x:c r="A46" s="9" t="str">
        <x:v>entity_scope</x:v>
      </x:c>
      <x:c r="B46" s="9" t="str">
        <x:v>platform</x:v>
      </x:c>
      <x:c r="C46" s="9" t="str">
        <x:v>Производственная платформа</x:v>
      </x:c>
      <x:c r="D46" s="9" t="str">
        <x:v>Platform</x:v>
      </x:c>
      <x:c r="E46" s="19" t="n">
        <x:v>30</x:v>
      </x:c>
      <x:c r="F46" s="16" t="b">
        <x:v>1</x:v>
      </x:c>
      <x:c r="G46" s="9" t="str">
        <x:v>published</x:v>
      </x:c>
      <x:c r="H46" s="9" t="str">
        <x:v>internal_demo</x:v>
      </x:c>
      <x:c r="I46" s="9" t="str">
        <x:v>SRC-INTERNAL-DEMO-20260726</x:v>
      </x:c>
    </x:row>
    <x:row r="47" ht="15" hidden="0" customHeight="1">
      <x:c r="A47" s="10" t="str">
        <x:v>data_type</x:v>
      </x:c>
      <x:c r="B47" s="10" t="str">
        <x:v>string</x:v>
      </x:c>
      <x:c r="C47" s="10" t="str">
        <x:v>Строка</x:v>
      </x:c>
      <x:c r="D47" s="10" t="str">
        <x:v>String</x:v>
      </x:c>
      <x:c r="E47" s="20" t="n">
        <x:v>10</x:v>
      </x:c>
      <x:c r="F47" s="17" t="b">
        <x:v>1</x:v>
      </x:c>
      <x:c r="G47" s="10" t="str">
        <x:v>published</x:v>
      </x:c>
      <x:c r="H47" s="10" t="str">
        <x:v>internal_demo</x:v>
      </x:c>
      <x:c r="I47" s="10" t="str">
        <x:v>SRC-INTERNAL-DEMO-20260726</x:v>
      </x:c>
    </x:row>
    <x:row r="48" ht="15" hidden="0" customHeight="1">
      <x:c r="A48" s="9" t="str">
        <x:v>data_type</x:v>
      </x:c>
      <x:c r="B48" s="9" t="str">
        <x:v>number</x:v>
      </x:c>
      <x:c r="C48" s="9" t="str">
        <x:v>Число</x:v>
      </x:c>
      <x:c r="D48" s="9" t="str">
        <x:v>Number</x:v>
      </x:c>
      <x:c r="E48" s="19" t="n">
        <x:v>20</x:v>
      </x:c>
      <x:c r="F48" s="16" t="b">
        <x:v>1</x:v>
      </x:c>
      <x:c r="G48" s="9" t="str">
        <x:v>published</x:v>
      </x:c>
      <x:c r="H48" s="9" t="str">
        <x:v>internal_demo</x:v>
      </x:c>
      <x:c r="I48" s="9" t="str">
        <x:v>SRC-INTERNAL-DEMO-20260726</x:v>
      </x:c>
    </x:row>
    <x:row r="49" ht="15" hidden="0" customHeight="1">
      <x:c r="A49" s="10" t="str">
        <x:v>data_type</x:v>
      </x:c>
      <x:c r="B49" s="10" t="str">
        <x:v>boolean</x:v>
      </x:c>
      <x:c r="C49" s="10" t="str">
        <x:v>Логическое</x:v>
      </x:c>
      <x:c r="D49" s="10" t="str">
        <x:v>Boolean</x:v>
      </x:c>
      <x:c r="E49" s="20" t="n">
        <x:v>30</x:v>
      </x:c>
      <x:c r="F49" s="17" t="b">
        <x:v>1</x:v>
      </x:c>
      <x:c r="G49" s="10" t="str">
        <x:v>published</x:v>
      </x:c>
      <x:c r="H49" s="10" t="str">
        <x:v>internal_demo</x:v>
      </x:c>
      <x:c r="I49" s="10" t="str">
        <x:v>SRC-INTERNAL-DEMO-20260726</x:v>
      </x:c>
    </x:row>
    <x:row r="50" ht="15" hidden="0" customHeight="1">
      <x:c r="A50" s="9" t="str">
        <x:v>data_type</x:v>
      </x:c>
      <x:c r="B50" s="9" t="str">
        <x:v>dictionary</x:v>
      </x:c>
      <x:c r="C50" s="9" t="str">
        <x:v>Справочник</x:v>
      </x:c>
      <x:c r="D50" s="9" t="str">
        <x:v>Dictionary</x:v>
      </x:c>
      <x:c r="E50" s="19" t="n">
        <x:v>40</x:v>
      </x:c>
      <x:c r="F50" s="16" t="b">
        <x:v>1</x:v>
      </x:c>
      <x:c r="G50" s="9" t="str">
        <x:v>published</x:v>
      </x:c>
      <x:c r="H50" s="9" t="str">
        <x:v>internal_demo</x:v>
      </x:c>
      <x:c r="I50" s="9" t="str">
        <x:v>SRC-INTERNAL-DEMO-20260726</x:v>
      </x:c>
    </x:row>
  </x:sheetData>
  <x:conditionalFormatting sqref="G2:G50">
    <x:cfRule type="containsText" dxfId="81" priority="1" operator="containsText" text="published"/>
    <x:cfRule type="containsText" dxfId="82" priority="2" operator="containsText" text="ok"/>
    <x:cfRule type="containsText" dxfId="83" priority="3" operator="containsText" text="pass"/>
    <x:cfRule type="containsText" dxfId="84" priority="4" operator="containsText" text="compatible"/>
    <x:cfRule type="containsText" dxfId="85" priority="5" operator="containsText" text="review"/>
    <x:cfRule type="containsText" dxfId="86" priority="6" operator="containsText" text="conditional"/>
    <x:cfRule type="containsText" dxfId="87" priority="7" operator="containsText" text="error"/>
    <x:cfRule type="containsText" dxfId="88" priority="8" operator="containsText" text="fail"/>
    <x:cfRule type="containsText" dxfId="89" priority="9" operator="containsText" text="archived"/>
  </x:conditionalFormatting>
  <x:dataValidations count="1">
    <x:dataValidation type="list" sqref="G2:G50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7210c009f045a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9" hidden="0" customWidth="1"/>
    <x:col min="14" max="14" width="18" hidden="0" customWidth="1"/>
    <x:col min="15" max="15" width="20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26" hidden="0" customWidth="1"/>
  </x:cols>
  <x:sheetData>
    <x:row r="1" ht="30" customHeight="1">
      <x:c r="A1" s="8" t="str">
        <x:v>vehicle_id</x:v>
      </x:c>
      <x:c r="B1" s="8" t="str">
        <x:v>make</x:v>
      </x:c>
      <x:c r="C1" s="8" t="str">
        <x:v>model</x:v>
      </x:c>
      <x:c r="D1" s="8" t="str">
        <x:v>generation</x:v>
      </x:c>
      <x:c r="E1" s="18" t="str">
        <x:v>year_from</x:v>
      </x:c>
      <x:c r="F1" s="18" t="str">
        <x:v>year_to</x:v>
      </x:c>
      <x:c r="G1" s="8" t="str">
        <x:v>trim</x:v>
      </x:c>
      <x:c r="H1" s="8" t="str">
        <x:v>body_type</x:v>
      </x:c>
      <x:c r="I1" s="8" t="str">
        <x:v>drivetrain</x:v>
      </x:c>
      <x:c r="J1" s="8" t="str">
        <x:v>bolt_holes</x:v>
      </x:c>
      <x:c r="K1" s="18" t="str">
        <x:v>pcd_mm</x:v>
      </x:c>
      <x:c r="L1" s="18" t="str">
        <x:v>hub_bore_mm</x:v>
      </x:c>
      <x:c r="M1" s="18" t="str">
        <x:v>front_axle_max_kg</x:v>
      </x:c>
      <x:c r="N1" s="18" t="str">
        <x:v>rear_axle_max_kg</x:v>
      </x:c>
      <x:c r="O1" s="8" t="str">
        <x:v>front_brake_package</x:v>
      </x:c>
      <x:c r="P1" s="8" t="str">
        <x:v>rear_brake_package</x:v>
      </x:c>
      <x:c r="Q1" s="8" t="str">
        <x:v>brake_verification_status</x:v>
      </x:c>
      <x:c r="R1" s="8" t="str">
        <x:v>lifecycle_status</x:v>
      </x:c>
      <x:c r="S1" s="8" t="str">
        <x:v>source_type</x:v>
      </x:c>
      <x:c r="T1" s="8" t="str">
        <x:v>source_id</x:v>
      </x:c>
    </x:row>
    <x:row r="2" ht="24" hidden="0" customHeight="1">
      <x:c r="A2" s="9" t="str">
        <x:v>VEH-JEEP-WRANGLER-JL-RUBICON</x:v>
      </x:c>
      <x:c r="B2" s="9" t="str">
        <x:v>Jeep</x:v>
      </x:c>
      <x:c r="C2" s="9" t="str">
        <x:v>Wrangler</x:v>
      </x:c>
      <x:c r="D2" s="9" t="str">
        <x:v>JL</x:v>
      </x:c>
      <x:c r="E2" s="19" t="n">
        <x:v>2018</x:v>
      </x:c>
      <x:c r="F2" s="19" t="n">
        <x:v>2026</x:v>
      </x:c>
      <x:c r="G2" s="9" t="str">
        <x:v>Rubicon</x:v>
      </x:c>
      <x:c r="H2" s="9" t="str">
        <x:v>SUV</x:v>
      </x:c>
      <x:c r="I2" s="9" t="str">
        <x:v>4WD</x:v>
      </x:c>
      <x:c r="J2" s="9" t="n">
        <x:v>5</x:v>
      </x:c>
      <x:c r="K2" s="25" t="n">
        <x:v>127</x:v>
      </x:c>
      <x:c r="L2" s="25" t="n">
        <x:v>71.5</x:v>
      </x:c>
      <x:c r="M2" s="29" t="n">
        <x:v>1450</x:v>
      </x:c>
      <x:c r="N2" s="29" t="n">
        <x:v>1500</x:v>
      </x:c>
      <x:c r="O2" s="9" t="str">
        <x:v>Rubicon OE front</x:v>
      </x:c>
      <x:c r="P2" s="9" t="str">
        <x:v>Rubicon OE rear</x:v>
      </x:c>
      <x:c r="Q2" s="9" t="str">
        <x:v>verified_internal</x:v>
      </x:c>
      <x:c r="R2" s="9" t="str">
        <x:v>published</x:v>
      </x:c>
      <x:c r="S2" s="9" t="str">
        <x:v>internal_demo</x:v>
      </x:c>
      <x:c r="T2" s="9" t="str">
        <x:v>SRC-INTERNAL-DEMO-20260726</x:v>
      </x:c>
    </x:row>
    <x:row r="3" ht="15" hidden="0" customHeight="1">
      <x:c r="A3" s="10" t="str">
        <x:v>VEH-JEEP-GLADIATOR-JT</x:v>
      </x:c>
      <x:c r="B3" s="10" t="str">
        <x:v>Jeep</x:v>
      </x:c>
      <x:c r="C3" s="10" t="str">
        <x:v>Gladiator</x:v>
      </x:c>
      <x:c r="D3" s="10" t="str">
        <x:v>JT</x:v>
      </x:c>
      <x:c r="E3" s="20" t="n">
        <x:v>2020</x:v>
      </x:c>
      <x:c r="F3" s="20" t="n">
        <x:v>2026</x:v>
      </x:c>
      <x:c r="G3" s="10" t="str">
        <x:v>Rubicon</x:v>
      </x:c>
      <x:c r="H3" s="10" t="str">
        <x:v>Pickup</x:v>
      </x:c>
      <x:c r="I3" s="10" t="str">
        <x:v>4WD</x:v>
      </x:c>
      <x:c r="J3" s="10" t="n">
        <x:v>5</x:v>
      </x:c>
      <x:c r="K3" s="26" t="n">
        <x:v>127</x:v>
      </x:c>
      <x:c r="L3" s="26" t="n">
        <x:v>71.5</x:v>
      </x:c>
      <x:c r="M3" s="30" t="n">
        <x:v>1600</x:v>
      </x:c>
      <x:c r="N3" s="30" t="n">
        <x:v>1700</x:v>
      </x:c>
      <x:c r="O3" s="10" t="str">
        <x:v>JT Rubicon front</x:v>
      </x:c>
      <x:c r="P3" s="10" t="str">
        <x:v>JT Rubicon rear</x:v>
      </x:c>
      <x:c r="Q3" s="10" t="str">
        <x:v>verified_internal</x:v>
      </x:c>
      <x:c r="R3" s="10" t="str">
        <x:v>published</x:v>
      </x:c>
      <x:c r="S3" s="10" t="str">
        <x:v>internal_demo</x:v>
      </x:c>
      <x:c r="T3" s="10" t="str">
        <x:v>SRC-INTERNAL-DEMO-20260726</x:v>
      </x:c>
    </x:row>
    <x:row r="4" ht="15" hidden="0" customHeight="1">
      <x:c r="A4" s="9" t="str">
        <x:v>VEH-FORD-BRONCO-VI</x:v>
      </x:c>
      <x:c r="B4" s="9" t="str">
        <x:v>Ford</x:v>
      </x:c>
      <x:c r="C4" s="9" t="str">
        <x:v>Bronco</x:v>
      </x:c>
      <x:c r="D4" s="9" t="str">
        <x:v>VI</x:v>
      </x:c>
      <x:c r="E4" s="19" t="n">
        <x:v>2021</x:v>
      </x:c>
      <x:c r="F4" s="19" t="n">
        <x:v>2026</x:v>
      </x:c>
      <x:c r="G4" s="9" t="str">
        <x:v>Badlands</x:v>
      </x:c>
      <x:c r="H4" s="9" t="str">
        <x:v>SUV</x:v>
      </x:c>
      <x:c r="I4" s="9" t="str">
        <x:v>4WD</x:v>
      </x:c>
      <x:c r="J4" s="9" t="n">
        <x:v>6</x:v>
      </x:c>
      <x:c r="K4" s="25" t="n">
        <x:v>139.7</x:v>
      </x:c>
      <x:c r="L4" s="25" t="n">
        <x:v>93.1</x:v>
      </x:c>
      <x:c r="M4" s="29" t="n">
        <x:v>1500</x:v>
      </x:c>
      <x:c r="N4" s="29" t="n">
        <x:v>1600</x:v>
      </x:c>
      <x:c r="O4" s="9" t="str">
        <x:v>Badlands front</x:v>
      </x:c>
      <x:c r="P4" s="9" t="str">
        <x:v>Badlands rear</x:v>
      </x:c>
      <x:c r="Q4" s="9" t="str">
        <x:v>verified_internal</x:v>
      </x:c>
      <x:c r="R4" s="9" t="str">
        <x:v>published</x:v>
      </x:c>
      <x:c r="S4" s="9" t="str">
        <x:v>internal_demo</x:v>
      </x:c>
      <x:c r="T4" s="9" t="str">
        <x:v>SRC-INTERNAL-DEMO-20260726</x:v>
      </x:c>
    </x:row>
    <x:row r="5" ht="15" hidden="0" customHeight="1">
      <x:c r="A5" s="10" t="str">
        <x:v>VEH-TANK-300-I</x:v>
      </x:c>
      <x:c r="B5" s="10" t="str">
        <x:v>TANK</x:v>
      </x:c>
      <x:c r="C5" s="10" t="str">
        <x:v>300</x:v>
      </x:c>
      <x:c r="D5" s="10" t="str">
        <x:v>I</x:v>
      </x:c>
      <x:c r="E5" s="20" t="n">
        <x:v>2020</x:v>
      </x:c>
      <x:c r="F5" s="20" t="n">
        <x:v>2026</x:v>
      </x:c>
      <x:c r="G5" s="10" t="str">
        <x:v>Premium</x:v>
      </x:c>
      <x:c r="H5" s="10" t="str">
        <x:v>SUV</x:v>
      </x:c>
      <x:c r="I5" s="10" t="str">
        <x:v>4WD</x:v>
      </x:c>
      <x:c r="J5" s="10" t="n">
        <x:v>6</x:v>
      </x:c>
      <x:c r="K5" s="26" t="n">
        <x:v>139.7</x:v>
      </x:c>
      <x:c r="L5" s="26" t="n">
        <x:v>100.1</x:v>
      </x:c>
      <x:c r="M5" s="30" t="n">
        <x:v>1450</x:v>
      </x:c>
      <x:c r="N5" s="30" t="n">
        <x:v>1650</x:v>
      </x:c>
      <x:c r="O5" s="10" t="str">
        <x:v>Premium front</x:v>
      </x:c>
      <x:c r="P5" s="10" t="str">
        <x:v>Premium rear</x:v>
      </x:c>
      <x:c r="Q5" s="10" t="str">
        <x:v>verified_internal</x:v>
      </x:c>
      <x:c r="R5" s="10" t="str">
        <x:v>published</x:v>
      </x:c>
      <x:c r="S5" s="10" t="str">
        <x:v>internal_demo</x:v>
      </x:c>
      <x:c r="T5" s="10" t="str">
        <x:v>SRC-INTERNAL-DEMO-20260726</x:v>
      </x:c>
    </x:row>
    <x:row r="6" ht="15" hidden="0" customHeight="1">
      <x:c r="A6" s="9" t="str">
        <x:v>VEH-TOYOTA-LC300</x:v>
      </x:c>
      <x:c r="B6" s="9" t="str">
        <x:v>Toyota</x:v>
      </x:c>
      <x:c r="C6" s="9" t="str">
        <x:v>Land Cruiser</x:v>
      </x:c>
      <x:c r="D6" s="9" t="str">
        <x:v>300</x:v>
      </x:c>
      <x:c r="E6" s="19" t="n">
        <x:v>2021</x:v>
      </x:c>
      <x:c r="F6" s="19" t="n">
        <x:v>2026</x:v>
      </x:c>
      <x:c r="G6" s="9" t="str">
        <x:v>GR Sport</x:v>
      </x:c>
      <x:c r="H6" s="9" t="str">
        <x:v>SUV</x:v>
      </x:c>
      <x:c r="I6" s="9" t="str">
        <x:v>4WD</x:v>
      </x:c>
      <x:c r="J6" s="9" t="n">
        <x:v>6</x:v>
      </x:c>
      <x:c r="K6" s="25" t="n">
        <x:v>139.7</x:v>
      </x:c>
      <x:c r="L6" s="25" t="n">
        <x:v>95.1</x:v>
      </x:c>
      <x:c r="M6" s="29" t="n">
        <x:v>1750</x:v>
      </x:c>
      <x:c r="N6" s="29" t="n">
        <x:v>1950</x:v>
      </x:c>
      <x:c r="O6" s="9" t="str">
        <x:v>GR Sport front</x:v>
      </x:c>
      <x:c r="P6" s="9" t="str">
        <x:v>GR Sport rear</x:v>
      </x:c>
      <x:c r="Q6" s="9" t="str">
        <x:v>verified_internal</x:v>
      </x:c>
      <x:c r="R6" s="9" t="str">
        <x:v>published</x:v>
      </x:c>
      <x:c r="S6" s="9" t="str">
        <x:v>internal_demo</x:v>
      </x:c>
      <x:c r="T6" s="9" t="str">
        <x:v>SRC-INTERNAL-DEMO-20260726</x:v>
      </x:c>
    </x:row>
    <x:row r="7" ht="15" hidden="0" customHeight="1">
      <x:c r="A7" s="10" t="str">
        <x:v>VEH-TOYOTA-HILUX-VIII</x:v>
      </x:c>
      <x:c r="B7" s="10" t="str">
        <x:v>Toyota</x:v>
      </x:c>
      <x:c r="C7" s="10" t="str">
        <x:v>Hilux</x:v>
      </x:c>
      <x:c r="D7" s="10" t="str">
        <x:v>VIII</x:v>
      </x:c>
      <x:c r="E7" s="20" t="n">
        <x:v>2015</x:v>
      </x:c>
      <x:c r="F7" s="20" t="n">
        <x:v>2026</x:v>
      </x:c>
      <x:c r="G7" s="10" t="str">
        <x:v>Adventure</x:v>
      </x:c>
      <x:c r="H7" s="10" t="str">
        <x:v>Pickup</x:v>
      </x:c>
      <x:c r="I7" s="10" t="str">
        <x:v>4WD</x:v>
      </x:c>
      <x:c r="J7" s="10" t="n">
        <x:v>6</x:v>
      </x:c>
      <x:c r="K7" s="26" t="n">
        <x:v>139.7</x:v>
      </x:c>
      <x:c r="L7" s="26" t="n">
        <x:v>106.1</x:v>
      </x:c>
      <x:c r="M7" s="30" t="n">
        <x:v>1450</x:v>
      </x:c>
      <x:c r="N7" s="30" t="n">
        <x:v>1950</x:v>
      </x:c>
      <x:c r="O7" s="10" t="str">
        <x:v>Adventure front</x:v>
      </x:c>
      <x:c r="P7" s="10" t="str">
        <x:v>Adventure rear</x:v>
      </x:c>
      <x:c r="Q7" s="10" t="str">
        <x:v>verified_internal</x:v>
      </x:c>
      <x:c r="R7" s="10" t="str">
        <x:v>published</x:v>
      </x:c>
      <x:c r="S7" s="10" t="str">
        <x:v>internal_demo</x:v>
      </x:c>
      <x:c r="T7" s="10" t="str">
        <x:v>SRC-INTERNAL-DEMO-20260726</x:v>
      </x:c>
    </x:row>
    <x:row r="8" ht="15" hidden="0" customHeight="1">
      <x:c r="A8" s="9" t="str">
        <x:v>VEH-LEXUS-GX550</x:v>
      </x:c>
      <x:c r="B8" s="9" t="str">
        <x:v>Lexus</x:v>
      </x:c>
      <x:c r="C8" s="9" t="str">
        <x:v>GX</x:v>
      </x:c>
      <x:c r="D8" s="9" t="str">
        <x:v>J250</x:v>
      </x:c>
      <x:c r="E8" s="19" t="n">
        <x:v>2023</x:v>
      </x:c>
      <x:c r="F8" s="19" t="n">
        <x:v>2026</x:v>
      </x:c>
      <x:c r="G8" s="9" t="str">
        <x:v>Overtrail</x:v>
      </x:c>
      <x:c r="H8" s="9" t="str">
        <x:v>SUV</x:v>
      </x:c>
      <x:c r="I8" s="9" t="str">
        <x:v>4WD</x:v>
      </x:c>
      <x:c r="J8" s="9" t="n">
        <x:v>6</x:v>
      </x:c>
      <x:c r="K8" s="25" t="n">
        <x:v>139.7</x:v>
      </x:c>
      <x:c r="L8" s="25" t="n">
        <x:v>95.1</x:v>
      </x:c>
      <x:c r="M8" s="29" t="n">
        <x:v>1700</x:v>
      </x:c>
      <x:c r="N8" s="29" t="n">
        <x:v>1900</x:v>
      </x:c>
      <x:c r="O8" s="9" t="str">
        <x:v>Overtrail front</x:v>
      </x:c>
      <x:c r="P8" s="9" t="str">
        <x:v>Overtrail rear</x:v>
      </x:c>
      <x:c r="Q8" s="9" t="str">
        <x:v>verified_internal</x:v>
      </x:c>
      <x:c r="R8" s="9" t="str">
        <x:v>published</x:v>
      </x:c>
      <x:c r="S8" s="9" t="str">
        <x:v>internal_demo</x:v>
      </x:c>
      <x:c r="T8" s="9" t="str">
        <x:v>SRC-INTERNAL-DEMO-20260726</x:v>
      </x:c>
    </x:row>
    <x:row r="9" ht="15" hidden="0" customHeight="1">
      <x:c r="A9" s="10" t="str">
        <x:v>VEH-NISSAN-SKYLINE-R34</x:v>
      </x:c>
      <x:c r="B9" s="10" t="str">
        <x:v>Nissan</x:v>
      </x:c>
      <x:c r="C9" s="10" t="str">
        <x:v>Skyline</x:v>
      </x:c>
      <x:c r="D9" s="10" t="str">
        <x:v>R34</x:v>
      </x:c>
      <x:c r="E9" s="20" t="n">
        <x:v>1998</x:v>
      </x:c>
      <x:c r="F9" s="20" t="n">
        <x:v>2002</x:v>
      </x:c>
      <x:c r="G9" s="10" t="str">
        <x:v>GT-R</x:v>
      </x:c>
      <x:c r="H9" s="10" t="str">
        <x:v>Coupe</x:v>
      </x:c>
      <x:c r="I9" s="10" t="str">
        <x:v>AWD</x:v>
      </x:c>
      <x:c r="J9" s="10" t="n">
        <x:v>5</x:v>
      </x:c>
      <x:c r="K9" s="26" t="n">
        <x:v>114.3</x:v>
      </x:c>
      <x:c r="L9" s="26" t="n">
        <x:v>66.1</x:v>
      </x:c>
      <x:c r="M9" s="30" t="n">
        <x:v>1000</x:v>
      </x:c>
      <x:c r="N9" s="30" t="n">
        <x:v>1000</x:v>
      </x:c>
      <x:c r="O9" s="10" t="str">
        <x:v>GT-R front</x:v>
      </x:c>
      <x:c r="P9" s="10" t="str">
        <x:v>GT-R rear</x:v>
      </x:c>
      <x:c r="Q9" s="10" t="str">
        <x:v>verified_internal</x:v>
      </x:c>
      <x:c r="R9" s="10" t="str">
        <x:v>published</x:v>
      </x:c>
      <x:c r="S9" s="10" t="str">
        <x:v>internal_demo</x:v>
      </x:c>
      <x:c r="T9" s="10" t="str">
        <x:v>SRC-INTERNAL-DEMO-20260726</x:v>
      </x:c>
    </x:row>
  </x:sheetData>
  <x:conditionalFormatting sqref="R2:R9">
    <x:cfRule type="containsText" dxfId="90" priority="1" operator="containsText" text="published"/>
    <x:cfRule type="containsText" dxfId="91" priority="2" operator="containsText" text="ok"/>
    <x:cfRule type="containsText" dxfId="92" priority="3" operator="containsText" text="pass"/>
    <x:cfRule type="containsText" dxfId="93" priority="4" operator="containsText" text="compatible"/>
    <x:cfRule type="containsText" dxfId="94" priority="5" operator="containsText" text="review"/>
    <x:cfRule type="containsText" dxfId="95" priority="6" operator="containsText" text="conditional"/>
    <x:cfRule type="containsText" dxfId="96" priority="7" operator="containsText" text="error"/>
    <x:cfRule type="containsText" dxfId="97" priority="8" operator="containsText" text="fail"/>
    <x:cfRule type="containsText" dxfId="98" priority="9" operator="containsText" text="archived"/>
  </x:conditionalFormatting>
  <x:dataValidations count="1">
    <x:dataValidation type="list" sqref="R2:R9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50a33f44b745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18" hidden="0" customWidth="1"/>
    <x:col min="5" max="5" width="20" hidden="0" customWidth="1"/>
    <x:col min="6" max="6" width="26" hidden="0" customWidth="1"/>
    <x:col min="7" max="7" width="18" hidden="0" customWidth="1"/>
    <x:col min="8" max="8" width="19" hidden="0" customWidth="1"/>
    <x:col min="9" max="9" width="18" hidden="0" customWidth="1"/>
    <x:col min="10" max="10" width="34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 ht="30" customHeight="1">
      <x:c r="A1" s="8" t="str">
        <x:v>fitment_set_id</x:v>
      </x:c>
      <x:c r="B1" s="8" t="str">
        <x:v>vehicle_id</x:v>
      </x:c>
      <x:c r="C1" s="8" t="str">
        <x:v>model_id</x:v>
      </x:c>
      <x:c r="D1" s="8" t="str">
        <x:v>fitment_status</x:v>
      </x:c>
      <x:c r="E1" s="8" t="str">
        <x:v>square_or_staggered</x:v>
      </x:c>
      <x:c r="F1" s="8" t="str">
        <x:v>installation_kit_id</x:v>
      </x:c>
      <x:c r="G1" s="8" t="str">
        <x:v>spacers_required</x:v>
      </x:c>
      <x:c r="H1" s="8" t="str">
        <x:v>adapters_required</x:v>
      </x:c>
      <x:c r="I1" s="8" t="str">
        <x:v>brake_clearance_status</x:v>
      </x:c>
      <x:c r="J1" s="8" t="str">
        <x:v>conditions_ru</x:v>
      </x:c>
      <x:c r="K1" s="8" t="str">
        <x:v>lifecycle_status</x:v>
      </x:c>
      <x:c r="L1" s="8" t="str">
        <x:v>source_type</x:v>
      </x:c>
      <x:c r="M1" s="8" t="str">
        <x:v>source_id</x:v>
      </x:c>
    </x:row>
    <x:row r="2" ht="24" hidden="0" customHeight="1">
      <x:c r="A2" s="9" t="str">
        <x:v>FIT-WRANGLER-ATLAS</x:v>
      </x:c>
      <x:c r="B2" s="9" t="str">
        <x:v>VEH-JEEP-WRANGLER-JL-RUBICON</x:v>
      </x:c>
      <x:c r="C2" s="9" t="str">
        <x:v>BIZON-WHEEL-MODEL-ATLAS</x:v>
      </x:c>
      <x:c r="D2" s="9" t="str">
        <x:v>conditional</x:v>
      </x:c>
      <x:c r="E2" s="9" t="str">
        <x:v>square</x:v>
      </x:c>
      <x:c r="F2" s="9" t="str">
        <x:v>KIT-JEEP-WRANGLER-JL-RUBICON</x:v>
      </x:c>
      <x:c r="G2" s="16" t="b">
        <x:v>0</x:v>
      </x:c>
      <x:c r="H2" s="16" t="b">
        <x:v>0</x:v>
      </x:c>
      <x:c r="I2" s="9" t="str">
        <x:v>verified_internal</x:v>
      </x:c>
      <x:c r="J2" s="9" t="str">
        <x:v>Использовать указанный монтажный комплект и центровочные кольца.</x:v>
      </x:c>
      <x:c r="K2" s="9" t="str">
        <x:v>published</x:v>
      </x:c>
      <x:c r="L2" s="9" t="str">
        <x:v>internal_demo</x:v>
      </x:c>
      <x:c r="M2" s="9" t="str">
        <x:v>SRC-INTERNAL-DEMO-20260726</x:v>
      </x:c>
    </x:row>
    <x:row r="3" ht="24" hidden="0" customHeight="1">
      <x:c r="A3" s="10" t="str">
        <x:v>FIT-WRANGLER-BASTION</x:v>
      </x:c>
      <x:c r="B3" s="10" t="str">
        <x:v>VEH-JEEP-WRANGLER-JL-RUBICON</x:v>
      </x:c>
      <x:c r="C3" s="10" t="str">
        <x:v>BIZON-WHEEL-MODEL-BASTION</x:v>
      </x:c>
      <x:c r="D3" s="10" t="str">
        <x:v>compatible</x:v>
      </x:c>
      <x:c r="E3" s="10" t="str">
        <x:v>square</x:v>
      </x:c>
      <x:c r="F3" s="10" t="str">
        <x:v>KIT-JEEP-WRANGLER-JL-RUBICON</x:v>
      </x:c>
      <x:c r="G3" s="17" t="b">
        <x:v>0</x:v>
      </x:c>
      <x:c r="H3" s="17" t="b">
        <x:v>0</x:v>
      </x:c>
      <x:c r="I3" s="10" t="str">
        <x:v>verified_internal</x:v>
      </x:c>
      <x:c r="J3" s="10" t="str">
        <x:v>Прямая установка с указанным крепежом.</x:v>
      </x:c>
      <x:c r="K3" s="10" t="str">
        <x:v>published</x:v>
      </x:c>
      <x:c r="L3" s="10" t="str">
        <x:v>internal_demo</x:v>
      </x:c>
      <x:c r="M3" s="10" t="str">
        <x:v>SRC-INTERNAL-DEMO-20260726</x:v>
      </x:c>
    </x:row>
    <x:row r="4" ht="15" hidden="0" customHeight="1">
      <x:c r="A4" s="9" t="str">
        <x:v>FIT-GLADIATOR-BASTION</x:v>
      </x:c>
      <x:c r="B4" s="9" t="str">
        <x:v>VEH-JEEP-GLADIATOR-JT</x:v>
      </x:c>
      <x:c r="C4" s="9" t="str">
        <x:v>BIZON-WHEEL-MODEL-BASTION</x:v>
      </x:c>
      <x:c r="D4" s="9" t="str">
        <x:v>compatible</x:v>
      </x:c>
      <x:c r="E4" s="9" t="str">
        <x:v>square</x:v>
      </x:c>
      <x:c r="F4" s="9" t="str">
        <x:v>KIT-JEEP-GLADIATOR-JT</x:v>
      </x:c>
      <x:c r="G4" s="16" t="b">
        <x:v>0</x:v>
      </x:c>
      <x:c r="H4" s="16" t="b">
        <x:v>0</x:v>
      </x:c>
      <x:c r="I4" s="9" t="str">
        <x:v>verified_internal</x:v>
      </x:c>
      <x:c r="J4" s="9" t="str">
        <x:v>Прямая установка с указанным крепежом.</x:v>
      </x:c>
      <x:c r="K4" s="9" t="str">
        <x:v>published</x:v>
      </x:c>
      <x:c r="L4" s="9" t="str">
        <x:v>internal_demo</x:v>
      </x:c>
      <x:c r="M4" s="9" t="str">
        <x:v>SRC-INTERNAL-DEMO-20260726</x:v>
      </x:c>
    </x:row>
    <x:row r="5" ht="24" hidden="0" customHeight="1">
      <x:c r="A5" s="10" t="str">
        <x:v>FIT-BRONCO-NOMAD</x:v>
      </x:c>
      <x:c r="B5" s="10" t="str">
        <x:v>VEH-FORD-BRONCO-VI</x:v>
      </x:c>
      <x:c r="C5" s="10" t="str">
        <x:v>BIZON-WHEEL-MODEL-NOMAD</x:v>
      </x:c>
      <x:c r="D5" s="10" t="str">
        <x:v>conditional</x:v>
      </x:c>
      <x:c r="E5" s="10" t="str">
        <x:v>square</x:v>
      </x:c>
      <x:c r="F5" s="10" t="str">
        <x:v>KIT-FORD-BRONCO-VI</x:v>
      </x:c>
      <x:c r="G5" s="17" t="b">
        <x:v>0</x:v>
      </x:c>
      <x:c r="H5" s="17" t="b">
        <x:v>0</x:v>
      </x:c>
      <x:c r="I5" s="10" t="str">
        <x:v>verified_internal</x:v>
      </x:c>
      <x:c r="J5" s="10" t="str">
        <x:v>Использовать указанный монтажный комплект и центровочные кольца.</x:v>
      </x:c>
      <x:c r="K5" s="10" t="str">
        <x:v>published</x:v>
      </x:c>
      <x:c r="L5" s="10" t="str">
        <x:v>internal_demo</x:v>
      </x:c>
      <x:c r="M5" s="10" t="str">
        <x:v>SRC-INTERNAL-DEMO-20260726</x:v>
      </x:c>
    </x:row>
    <x:row r="6" ht="24" hidden="0" customHeight="1">
      <x:c r="A6" s="9" t="str">
        <x:v>FIT-BRONCO-ATLAS</x:v>
      </x:c>
      <x:c r="B6" s="9" t="str">
        <x:v>VEH-FORD-BRONCO-VI</x:v>
      </x:c>
      <x:c r="C6" s="9" t="str">
        <x:v>BIZON-WHEEL-MODEL-ATLAS</x:v>
      </x:c>
      <x:c r="D6" s="9" t="str">
        <x:v>conditional</x:v>
      </x:c>
      <x:c r="E6" s="9" t="str">
        <x:v>square</x:v>
      </x:c>
      <x:c r="F6" s="9" t="str">
        <x:v>KIT-FORD-BRONCO-VI</x:v>
      </x:c>
      <x:c r="G6" s="16" t="b">
        <x:v>0</x:v>
      </x:c>
      <x:c r="H6" s="16" t="b">
        <x:v>0</x:v>
      </x:c>
      <x:c r="I6" s="9" t="str">
        <x:v>verified_internal</x:v>
      </x:c>
      <x:c r="J6" s="9" t="str">
        <x:v>Использовать указанный монтажный комплект и центровочные кольца.</x:v>
      </x:c>
      <x:c r="K6" s="9" t="str">
        <x:v>published</x:v>
      </x:c>
      <x:c r="L6" s="9" t="str">
        <x:v>internal_demo</x:v>
      </x:c>
      <x:c r="M6" s="9" t="str">
        <x:v>SRC-INTERNAL-DEMO-20260726</x:v>
      </x:c>
    </x:row>
    <x:row r="7" ht="24" hidden="0" customHeight="1">
      <x:c r="A7" s="10" t="str">
        <x:v>FIT-TANK300-ATLAS</x:v>
      </x:c>
      <x:c r="B7" s="10" t="str">
        <x:v>VEH-TANK-300-I</x:v>
      </x:c>
      <x:c r="C7" s="10" t="str">
        <x:v>BIZON-WHEEL-MODEL-ATLAS</x:v>
      </x:c>
      <x:c r="D7" s="10" t="str">
        <x:v>conditional</x:v>
      </x:c>
      <x:c r="E7" s="10" t="str">
        <x:v>square</x:v>
      </x:c>
      <x:c r="F7" s="10" t="str">
        <x:v>KIT-TANK-300-I</x:v>
      </x:c>
      <x:c r="G7" s="17" t="b">
        <x:v>0</x:v>
      </x:c>
      <x:c r="H7" s="17" t="b">
        <x:v>0</x:v>
      </x:c>
      <x:c r="I7" s="10" t="str">
        <x:v>verified_internal</x:v>
      </x:c>
      <x:c r="J7" s="10" t="str">
        <x:v>Использовать указанный монтажный комплект и центровочные кольца.</x:v>
      </x:c>
      <x:c r="K7" s="10" t="str">
        <x:v>published</x:v>
      </x:c>
      <x:c r="L7" s="10" t="str">
        <x:v>internal_demo</x:v>
      </x:c>
      <x:c r="M7" s="10" t="str">
        <x:v>SRC-INTERNAL-DEMO-20260726</x:v>
      </x:c>
    </x:row>
    <x:row r="8" ht="24" hidden="0" customHeight="1">
      <x:c r="A8" s="9" t="str">
        <x:v>FIT-LC300-NOMAD</x:v>
      </x:c>
      <x:c r="B8" s="9" t="str">
        <x:v>VEH-TOYOTA-LC300</x:v>
      </x:c>
      <x:c r="C8" s="9" t="str">
        <x:v>BIZON-WHEEL-MODEL-NOMAD</x:v>
      </x:c>
      <x:c r="D8" s="9" t="str">
        <x:v>conditional</x:v>
      </x:c>
      <x:c r="E8" s="9" t="str">
        <x:v>square</x:v>
      </x:c>
      <x:c r="F8" s="9" t="str">
        <x:v>KIT-TOYOTA-LC300</x:v>
      </x:c>
      <x:c r="G8" s="16" t="b">
        <x:v>0</x:v>
      </x:c>
      <x:c r="H8" s="16" t="b">
        <x:v>0</x:v>
      </x:c>
      <x:c r="I8" s="9" t="str">
        <x:v>verified_internal</x:v>
      </x:c>
      <x:c r="J8" s="9" t="str">
        <x:v>Использовать указанный монтажный комплект и центровочные кольца.</x:v>
      </x:c>
      <x:c r="K8" s="9" t="str">
        <x:v>published</x:v>
      </x:c>
      <x:c r="L8" s="9" t="str">
        <x:v>internal_demo</x:v>
      </x:c>
      <x:c r="M8" s="9" t="str">
        <x:v>SRC-INTERNAL-DEMO-20260726</x:v>
      </x:c>
    </x:row>
    <x:row r="9" ht="15" hidden="0" customHeight="1">
      <x:c r="A9" s="10" t="str">
        <x:v>FIT-HILUX-ATLAS</x:v>
      </x:c>
      <x:c r="B9" s="10" t="str">
        <x:v>VEH-TOYOTA-HILUX-VIII</x:v>
      </x:c>
      <x:c r="C9" s="10" t="str">
        <x:v>BIZON-WHEEL-MODEL-ATLAS</x:v>
      </x:c>
      <x:c r="D9" s="10" t="str">
        <x:v>compatible</x:v>
      </x:c>
      <x:c r="E9" s="10" t="str">
        <x:v>square</x:v>
      </x:c>
      <x:c r="F9" s="10" t="str">
        <x:v>KIT-TOYOTA-HILUX-VIII</x:v>
      </x:c>
      <x:c r="G9" s="17" t="b">
        <x:v>0</x:v>
      </x:c>
      <x:c r="H9" s="17" t="b">
        <x:v>0</x:v>
      </x:c>
      <x:c r="I9" s="10" t="str">
        <x:v>verified_internal</x:v>
      </x:c>
      <x:c r="J9" s="10" t="str">
        <x:v>Прямая установка с указанным крепежом.</x:v>
      </x:c>
      <x:c r="K9" s="10" t="str">
        <x:v>published</x:v>
      </x:c>
      <x:c r="L9" s="10" t="str">
        <x:v>internal_demo</x:v>
      </x:c>
      <x:c r="M9" s="10" t="str">
        <x:v>SRC-INTERNAL-DEMO-20260726</x:v>
      </x:c>
    </x:row>
    <x:row r="10" ht="24" hidden="0" customHeight="1">
      <x:c r="A10" s="9" t="str">
        <x:v>FIT-GX550-ATLAS</x:v>
      </x:c>
      <x:c r="B10" s="9" t="str">
        <x:v>VEH-LEXUS-GX550</x:v>
      </x:c>
      <x:c r="C10" s="9" t="str">
        <x:v>BIZON-WHEEL-MODEL-ATLAS</x:v>
      </x:c>
      <x:c r="D10" s="9" t="str">
        <x:v>conditional</x:v>
      </x:c>
      <x:c r="E10" s="9" t="str">
        <x:v>square</x:v>
      </x:c>
      <x:c r="F10" s="9" t="str">
        <x:v>KIT-LEXUS-GX550</x:v>
      </x:c>
      <x:c r="G10" s="16" t="b">
        <x:v>0</x:v>
      </x:c>
      <x:c r="H10" s="16" t="b">
        <x:v>0</x:v>
      </x:c>
      <x:c r="I10" s="9" t="str">
        <x:v>verified_internal</x:v>
      </x:c>
      <x:c r="J10" s="9" t="str">
        <x:v>Использовать указанный монтажный комплект и центровочные кольца.</x:v>
      </x:c>
      <x:c r="K10" s="9" t="str">
        <x:v>published</x:v>
      </x:c>
      <x:c r="L10" s="9" t="str">
        <x:v>internal_demo</x:v>
      </x:c>
      <x:c r="M10" s="9" t="str">
        <x:v>SRC-INTERNAL-DEMO-20260726</x:v>
      </x:c>
    </x:row>
    <x:row r="11" ht="15" hidden="0" customHeight="1">
      <x:c r="A11" s="10" t="str">
        <x:v>FIT-SKYLINE-EMBER</x:v>
      </x:c>
      <x:c r="B11" s="10" t="str">
        <x:v>VEH-NISSAN-SKYLINE-R34</x:v>
      </x:c>
      <x:c r="C11" s="10" t="str">
        <x:v>BIZON-WHEEL-MODEL-EMBER</x:v>
      </x:c>
      <x:c r="D11" s="10" t="str">
        <x:v>compatible</x:v>
      </x:c>
      <x:c r="E11" s="10" t="str">
        <x:v>staggered</x:v>
      </x:c>
      <x:c r="F11" s="10" t="str">
        <x:v>KIT-NISSAN-SKYLINE-R34</x:v>
      </x:c>
      <x:c r="G11" s="17" t="b">
        <x:v>0</x:v>
      </x:c>
      <x:c r="H11" s="17" t="b">
        <x:v>0</x:v>
      </x:c>
      <x:c r="I11" s="10" t="str">
        <x:v>verified_internal</x:v>
      </x:c>
      <x:c r="J11" s="10" t="str">
        <x:v>Прямая установка с указанным крепежом.</x:v>
      </x:c>
      <x:c r="K11" s="10" t="str">
        <x:v>published</x:v>
      </x:c>
      <x:c r="L11" s="10" t="str">
        <x:v>internal_demo</x:v>
      </x:c>
      <x:c r="M11" s="10" t="str">
        <x:v>SRC-INTERNAL-DEMO-20260726</x:v>
      </x:c>
    </x:row>
  </x:sheetData>
  <x:conditionalFormatting sqref="K2:K11">
    <x:cfRule type="containsText" dxfId="99" priority="1" operator="containsText" text="published"/>
    <x:cfRule type="containsText" dxfId="100" priority="2" operator="containsText" text="ok"/>
    <x:cfRule type="containsText" dxfId="101" priority="3" operator="containsText" text="pass"/>
    <x:cfRule type="containsText" dxfId="102" priority="4" operator="containsText" text="compatible"/>
    <x:cfRule type="containsText" dxfId="103" priority="5" operator="containsText" text="review"/>
    <x:cfRule type="containsText" dxfId="104" priority="6" operator="containsText" text="conditional"/>
    <x:cfRule type="containsText" dxfId="105" priority="7" operator="containsText" text="error"/>
    <x:cfRule type="containsText" dxfId="106" priority="8" operator="containsText" text="fail"/>
    <x:cfRule type="containsText" dxfId="107" priority="9" operator="containsText" text="archived"/>
  </x:conditionalFormatting>
  <x:conditionalFormatting sqref="D2:D11">
    <x:cfRule type="containsText" dxfId="108" priority="10" operator="containsText" text="published"/>
    <x:cfRule type="containsText" dxfId="109" priority="11" operator="containsText" text="ok"/>
    <x:cfRule type="containsText" dxfId="110" priority="12" operator="containsText" text="pass"/>
    <x:cfRule type="containsText" dxfId="111" priority="13" operator="containsText" text="compatible"/>
    <x:cfRule type="containsText" dxfId="112" priority="14" operator="containsText" text="review"/>
    <x:cfRule type="containsText" dxfId="113" priority="15" operator="containsText" text="conditional"/>
    <x:cfRule type="containsText" dxfId="114" priority="16" operator="containsText" text="error"/>
    <x:cfRule type="containsText" dxfId="115" priority="17" operator="containsText" text="fail"/>
    <x:cfRule type="containsText" dxfId="116" priority="18" operator="containsText" text="archived"/>
  </x:conditionalFormatting>
  <x:dataValidations count="2">
    <x:dataValidation type="list" sqref="K2:K11">
      <x:formula1>"draft,review,published,archived"</x:formula1>
    </x:dataValidation>
    <x:dataValidation type="list" sqref="D2:D11">
      <x:formula1>"compatible,conditional,requires_verification,incompatible"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d6f81ee1c845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5" hidden="0" customWidth="1"/>
    <x:col min="4" max="4" width="26" hidden="0" customWidth="1"/>
    <x:col min="5" max="5" width="12" hidden="0" customWidth="1"/>
    <x:col min="6" max="6" width="20" hidden="0" customWidth="1"/>
    <x:col min="7" max="7" width="13" hidden="0" customWidth="1"/>
    <x:col min="8" max="8" width="19" hidden="0" customWidth="1"/>
    <x:col min="9" max="9" width="20" hidden="0" customWidth="1"/>
    <x:col min="10" max="10" width="12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 ht="30" customHeight="1">
      <x:c r="A1" s="8" t="str">
        <x:v>fitment_axle_id</x:v>
      </x:c>
      <x:c r="B1" s="8" t="str">
        <x:v>fitment_set_id</x:v>
      </x:c>
      <x:c r="C1" s="8" t="str">
        <x:v>axle_position</x:v>
      </x:c>
      <x:c r="D1" s="8" t="str">
        <x:v>variant_id</x:v>
      </x:c>
      <x:c r="E1" s="18" t="str">
        <x:v>quantity</x:v>
      </x:c>
      <x:c r="F1" s="8" t="str">
        <x:v>recommended_tire_size</x:v>
      </x:c>
      <x:c r="G1" s="18" t="str">
        <x:v>axle_max_kg</x:v>
      </x:c>
      <x:c r="H1" s="18" t="str">
        <x:v>wheel_max_load_kg</x:v>
      </x:c>
      <x:c r="I1" s="18" t="str">
        <x:v>load_required_per_wheel_kg</x:v>
      </x:c>
      <x:c r="J1" s="8" t="str">
        <x:v>load_check</x:v>
      </x:c>
      <x:c r="K1" s="8" t="str">
        <x:v>lifecycle_status</x:v>
      </x:c>
      <x:c r="L1" s="8" t="str">
        <x:v>source_type</x:v>
      </x:c>
      <x:c r="M1" s="8" t="str">
        <x:v>source_id</x:v>
      </x:c>
    </x:row>
    <x:row r="2" ht="24" hidden="0" customHeight="1">
      <x:c r="A2" s="9" t="str">
        <x:v>FITAX-WRANGLER-ATLAS-FRONT</x:v>
      </x:c>
      <x:c r="B2" s="9" t="str">
        <x:v>FIT-WRANGLER-ATLAS</x:v>
      </x:c>
      <x:c r="C2" s="9" t="str">
        <x:v>front</x:v>
      </x:c>
      <x:c r="D2" s="9" t="str">
        <x:v>BIZON-WHEEL-VAR-ATLAS-1785-ET0-6X1397</x:v>
      </x:c>
      <x:c r="E2" s="19" t="n">
        <x:v>2</x:v>
      </x:c>
      <x:c r="F2" s="9" t="str">
        <x:v>285/70R17</x:v>
      </x:c>
      <x:c r="G2" s="29" t="n">
        <x:f>'10_VEHICLES'!M2</x:f>
        <x:v>1450</x:v>
      </x:c>
      <x:c r="H2" s="29" t="n">
        <x:f>'02_WHEEL_VARIANTS'!S2</x:f>
        <x:v>1100</x:v>
      </x:c>
      <x:c r="I2" s="29" t="n">
        <x:f>G2/2</x:f>
        <x:v>725</x:v>
      </x:c>
      <x:c r="J2" s="9" t="str">
        <x:f>IF(H2&gt;=I2,"pass","fail")</x:f>
        <x:v>pass</x:v>
      </x:c>
      <x:c r="K2" s="9" t="str">
        <x:v>published</x:v>
      </x:c>
      <x:c r="L2" s="9" t="str">
        <x:v>internal_demo</x:v>
      </x:c>
      <x:c r="M2" s="9" t="str">
        <x:v>SRC-INTERNAL-DEMO-20260726</x:v>
      </x:c>
    </x:row>
    <x:row r="3" ht="24" hidden="0" customHeight="1">
      <x:c r="A3" s="10" t="str">
        <x:v>FITAX-WRANGLER-ATLAS-REAR</x:v>
      </x:c>
      <x:c r="B3" s="10" t="str">
        <x:v>FIT-WRANGLER-ATLAS</x:v>
      </x:c>
      <x:c r="C3" s="10" t="str">
        <x:v>rear</x:v>
      </x:c>
      <x:c r="D3" s="10" t="str">
        <x:v>BIZON-WHEEL-VAR-ATLAS-1785-ET0-6X1397</x:v>
      </x:c>
      <x:c r="E3" s="20" t="n">
        <x:v>2</x:v>
      </x:c>
      <x:c r="F3" s="10" t="str">
        <x:v>285/70R17</x:v>
      </x:c>
      <x:c r="G3" s="30" t="n">
        <x:f>'10_VEHICLES'!N2</x:f>
        <x:v>1500</x:v>
      </x:c>
      <x:c r="H3" s="30" t="n">
        <x:f>'02_WHEEL_VARIANTS'!S2</x:f>
        <x:v>1100</x:v>
      </x:c>
      <x:c r="I3" s="30" t="n">
        <x:f>G3/2</x:f>
        <x:v>750</x:v>
      </x:c>
      <x:c r="J3" s="10" t="str">
        <x:f>IF(H3&gt;=I3,"pass","fail")</x:f>
        <x:v>pass</x:v>
      </x:c>
      <x:c r="K3" s="10" t="str">
        <x:v>published</x:v>
      </x:c>
      <x:c r="L3" s="10" t="str">
        <x:v>internal_demo</x:v>
      </x:c>
      <x:c r="M3" s="10" t="str">
        <x:v>SRC-INTERNAL-DEMO-20260726</x:v>
      </x:c>
    </x:row>
    <x:row r="4" ht="24" hidden="0" customHeight="1">
      <x:c r="A4" s="9" t="str">
        <x:v>FITAX-WRANGLER-BASTION-FRONT</x:v>
      </x:c>
      <x:c r="B4" s="9" t="str">
        <x:v>FIT-WRANGLER-BASTION</x:v>
      </x:c>
      <x:c r="C4" s="9" t="str">
        <x:v>front</x:v>
      </x:c>
      <x:c r="D4" s="9" t="str">
        <x:v>BIZON-WHEEL-VAR-BASTION-179-ETM12-5X127</x:v>
      </x:c>
      <x:c r="E4" s="19" t="n">
        <x:v>2</x:v>
      </x:c>
      <x:c r="F4" s="9" t="str">
        <x:v>285/70R17</x:v>
      </x:c>
      <x:c r="G4" s="29" t="n">
        <x:f>'10_VEHICLES'!M2</x:f>
        <x:v>1450</x:v>
      </x:c>
      <x:c r="H4" s="29" t="n">
        <x:f>'02_WHEEL_VARIANTS'!S19</x:f>
        <x:v>1150</x:v>
      </x:c>
      <x:c r="I4" s="29" t="n">
        <x:f>G4/2</x:f>
        <x:v>725</x:v>
      </x:c>
      <x:c r="J4" s="9" t="str">
        <x:f>IF(H4&gt;=I4,"pass","fail")</x:f>
        <x:v>pass</x:v>
      </x:c>
      <x:c r="K4" s="9" t="str">
        <x:v>published</x:v>
      </x:c>
      <x:c r="L4" s="9" t="str">
        <x:v>internal_demo</x:v>
      </x:c>
      <x:c r="M4" s="9" t="str">
        <x:v>SRC-INTERNAL-DEMO-20260726</x:v>
      </x:c>
    </x:row>
    <x:row r="5" ht="24" hidden="0" customHeight="1">
      <x:c r="A5" s="10" t="str">
        <x:v>FITAX-WRANGLER-BASTION-REAR</x:v>
      </x:c>
      <x:c r="B5" s="10" t="str">
        <x:v>FIT-WRANGLER-BASTION</x:v>
      </x:c>
      <x:c r="C5" s="10" t="str">
        <x:v>rear</x:v>
      </x:c>
      <x:c r="D5" s="10" t="str">
        <x:v>BIZON-WHEEL-VAR-BASTION-179-ETM12-5X127</x:v>
      </x:c>
      <x:c r="E5" s="20" t="n">
        <x:v>2</x:v>
      </x:c>
      <x:c r="F5" s="10" t="str">
        <x:v>285/70R17</x:v>
      </x:c>
      <x:c r="G5" s="30" t="n">
        <x:f>'10_VEHICLES'!N2</x:f>
        <x:v>1500</x:v>
      </x:c>
      <x:c r="H5" s="30" t="n">
        <x:f>'02_WHEEL_VARIANTS'!S19</x:f>
        <x:v>1150</x:v>
      </x:c>
      <x:c r="I5" s="30" t="n">
        <x:f>G5/2</x:f>
        <x:v>750</x:v>
      </x:c>
      <x:c r="J5" s="10" t="str">
        <x:f>IF(H5&gt;=I5,"pass","fail")</x:f>
        <x:v>pass</x:v>
      </x:c>
      <x:c r="K5" s="10" t="str">
        <x:v>published</x:v>
      </x:c>
      <x:c r="L5" s="10" t="str">
        <x:v>internal_demo</x:v>
      </x:c>
      <x:c r="M5" s="10" t="str">
        <x:v>SRC-INTERNAL-DEMO-20260726</x:v>
      </x:c>
    </x:row>
    <x:row r="6" ht="24" hidden="0" customHeight="1">
      <x:c r="A6" s="9" t="str">
        <x:v>FITAX-GLADIATOR-BASTION-FRONT</x:v>
      </x:c>
      <x:c r="B6" s="9" t="str">
        <x:v>FIT-GLADIATOR-BASTION</x:v>
      </x:c>
      <x:c r="C6" s="9" t="str">
        <x:v>front</x:v>
      </x:c>
      <x:c r="D6" s="9" t="str">
        <x:v>BIZON-WHEEL-VAR-BASTION-179-ETM12-5X127</x:v>
      </x:c>
      <x:c r="E6" s="19" t="n">
        <x:v>2</x:v>
      </x:c>
      <x:c r="F6" s="9" t="str">
        <x:v>285/70R17</x:v>
      </x:c>
      <x:c r="G6" s="29" t="n">
        <x:f>'10_VEHICLES'!M3</x:f>
        <x:v>1600</x:v>
      </x:c>
      <x:c r="H6" s="29" t="n">
        <x:f>'02_WHEEL_VARIANTS'!S19</x:f>
        <x:v>1150</x:v>
      </x:c>
      <x:c r="I6" s="29" t="n">
        <x:f>G6/2</x:f>
        <x:v>800</x:v>
      </x:c>
      <x:c r="J6" s="9" t="str">
        <x:f>IF(H6&gt;=I6,"pass","fail")</x:f>
        <x:v>pass</x:v>
      </x:c>
      <x:c r="K6" s="9" t="str">
        <x:v>published</x:v>
      </x:c>
      <x:c r="L6" s="9" t="str">
        <x:v>internal_demo</x:v>
      </x:c>
      <x:c r="M6" s="9" t="str">
        <x:v>SRC-INTERNAL-DEMO-20260726</x:v>
      </x:c>
    </x:row>
    <x:row r="7" ht="24" hidden="0" customHeight="1">
      <x:c r="A7" s="10" t="str">
        <x:v>FITAX-GLADIATOR-BASTION-REAR</x:v>
      </x:c>
      <x:c r="B7" s="10" t="str">
        <x:v>FIT-GLADIATOR-BASTION</x:v>
      </x:c>
      <x:c r="C7" s="10" t="str">
        <x:v>rear</x:v>
      </x:c>
      <x:c r="D7" s="10" t="str">
        <x:v>BIZON-WHEEL-VAR-BASTION-179-ETM12-5X127</x:v>
      </x:c>
      <x:c r="E7" s="20" t="n">
        <x:v>2</x:v>
      </x:c>
      <x:c r="F7" s="10" t="str">
        <x:v>285/70R17</x:v>
      </x:c>
      <x:c r="G7" s="30" t="n">
        <x:f>'10_VEHICLES'!N3</x:f>
        <x:v>1700</x:v>
      </x:c>
      <x:c r="H7" s="30" t="n">
        <x:f>'02_WHEEL_VARIANTS'!S19</x:f>
        <x:v>1150</x:v>
      </x:c>
      <x:c r="I7" s="30" t="n">
        <x:f>G7/2</x:f>
        <x:v>850</x:v>
      </x:c>
      <x:c r="J7" s="10" t="str">
        <x:f>IF(H7&gt;=I7,"pass","fail")</x:f>
        <x:v>pass</x:v>
      </x:c>
      <x:c r="K7" s="10" t="str">
        <x:v>published</x:v>
      </x:c>
      <x:c r="L7" s="10" t="str">
        <x:v>internal_demo</x:v>
      </x:c>
      <x:c r="M7" s="10" t="str">
        <x:v>SRC-INTERNAL-DEMO-20260726</x:v>
      </x:c>
    </x:row>
    <x:row r="8" ht="24" hidden="0" customHeight="1">
      <x:c r="A8" s="9" t="str">
        <x:v>FITAX-BRONCO-NOMAD-FRONT</x:v>
      </x:c>
      <x:c r="B8" s="9" t="str">
        <x:v>FIT-BRONCO-NOMAD</x:v>
      </x:c>
      <x:c r="C8" s="9" t="str">
        <x:v>front</x:v>
      </x:c>
      <x:c r="D8" s="9" t="str">
        <x:v>BIZON-WHEEL-VAR-NOMAD-189-ET0-6X1397</x:v>
      </x:c>
      <x:c r="E8" s="19" t="n">
        <x:v>2</x:v>
      </x:c>
      <x:c r="F8" s="9" t="str">
        <x:v>35x12.50R18</x:v>
      </x:c>
      <x:c r="G8" s="29" t="n">
        <x:f>'10_VEHICLES'!M4</x:f>
        <x:v>1500</x:v>
      </x:c>
      <x:c r="H8" s="29" t="n">
        <x:f>'02_WHEEL_VARIANTS'!S12</x:f>
        <x:v>1200</x:v>
      </x:c>
      <x:c r="I8" s="29" t="n">
        <x:f>G8/2</x:f>
        <x:v>750</x:v>
      </x:c>
      <x:c r="J8" s="9" t="str">
        <x:f>IF(H8&gt;=I8,"pass","fail")</x:f>
        <x:v>pass</x:v>
      </x:c>
      <x:c r="K8" s="9" t="str">
        <x:v>published</x:v>
      </x:c>
      <x:c r="L8" s="9" t="str">
        <x:v>internal_demo</x:v>
      </x:c>
      <x:c r="M8" s="9" t="str">
        <x:v>SRC-INTERNAL-DEMO-20260726</x:v>
      </x:c>
    </x:row>
    <x:row r="9" ht="24" hidden="0" customHeight="1">
      <x:c r="A9" s="10" t="str">
        <x:v>FITAX-BRONCO-NOMAD-REAR</x:v>
      </x:c>
      <x:c r="B9" s="10" t="str">
        <x:v>FIT-BRONCO-NOMAD</x:v>
      </x:c>
      <x:c r="C9" s="10" t="str">
        <x:v>rear</x:v>
      </x:c>
      <x:c r="D9" s="10" t="str">
        <x:v>BIZON-WHEEL-VAR-NOMAD-189-ET0-6X1397</x:v>
      </x:c>
      <x:c r="E9" s="20" t="n">
        <x:v>2</x:v>
      </x:c>
      <x:c r="F9" s="10" t="str">
        <x:v>35x12.50R18</x:v>
      </x:c>
      <x:c r="G9" s="30" t="n">
        <x:f>'10_VEHICLES'!N4</x:f>
        <x:v>1600</x:v>
      </x:c>
      <x:c r="H9" s="30" t="n">
        <x:f>'02_WHEEL_VARIANTS'!S12</x:f>
        <x:v>1200</x:v>
      </x:c>
      <x:c r="I9" s="30" t="n">
        <x:f>G9/2</x:f>
        <x:v>800</x:v>
      </x:c>
      <x:c r="J9" s="10" t="str">
        <x:f>IF(H9&gt;=I9,"pass","fail")</x:f>
        <x:v>pass</x:v>
      </x:c>
      <x:c r="K9" s="10" t="str">
        <x:v>published</x:v>
      </x:c>
      <x:c r="L9" s="10" t="str">
        <x:v>internal_demo</x:v>
      </x:c>
      <x:c r="M9" s="10" t="str">
        <x:v>SRC-INTERNAL-DEMO-20260726</x:v>
      </x:c>
    </x:row>
    <x:row r="10" ht="24" hidden="0" customHeight="1">
      <x:c r="A10" s="9" t="str">
        <x:v>FITAX-BRONCO-ATLAS-FRONT</x:v>
      </x:c>
      <x:c r="B10" s="9" t="str">
        <x:v>FIT-BRONCO-ATLAS</x:v>
      </x:c>
      <x:c r="C10" s="9" t="str">
        <x:v>front</x:v>
      </x:c>
      <x:c r="D10" s="9" t="str">
        <x:v>BIZON-WHEEL-VAR-ATLAS-189-ETM12-6X1397</x:v>
      </x:c>
      <x:c r="E10" s="19" t="n">
        <x:v>2</x:v>
      </x:c>
      <x:c r="F10" s="9" t="str">
        <x:v>35x12.50R18</x:v>
      </x:c>
      <x:c r="G10" s="29" t="n">
        <x:f>'10_VEHICLES'!M4</x:f>
        <x:v>1500</x:v>
      </x:c>
      <x:c r="H10" s="29" t="n">
        <x:f>'02_WHEEL_VARIANTS'!S3</x:f>
        <x:v>1150</x:v>
      </x:c>
      <x:c r="I10" s="29" t="n">
        <x:f>G10/2</x:f>
        <x:v>750</x:v>
      </x:c>
      <x:c r="J10" s="9" t="str">
        <x:f>IF(H10&gt;=I10,"pass","fail")</x:f>
        <x:v>pass</x:v>
      </x:c>
      <x:c r="K10" s="9" t="str">
        <x:v>published</x:v>
      </x:c>
      <x:c r="L10" s="9" t="str">
        <x:v>internal_demo</x:v>
      </x:c>
      <x:c r="M10" s="9" t="str">
        <x:v>SRC-INTERNAL-DEMO-20260726</x:v>
      </x:c>
    </x:row>
    <x:row r="11" ht="24" hidden="0" customHeight="1">
      <x:c r="A11" s="10" t="str">
        <x:v>FITAX-BRONCO-ATLAS-REAR</x:v>
      </x:c>
      <x:c r="B11" s="10" t="str">
        <x:v>FIT-BRONCO-ATLAS</x:v>
      </x:c>
      <x:c r="C11" s="10" t="str">
        <x:v>rear</x:v>
      </x:c>
      <x:c r="D11" s="10" t="str">
        <x:v>BIZON-WHEEL-VAR-ATLAS-189-ETM12-6X1397</x:v>
      </x:c>
      <x:c r="E11" s="20" t="n">
        <x:v>2</x:v>
      </x:c>
      <x:c r="F11" s="10" t="str">
        <x:v>35x12.50R18</x:v>
      </x:c>
      <x:c r="G11" s="30" t="n">
        <x:f>'10_VEHICLES'!N4</x:f>
        <x:v>1600</x:v>
      </x:c>
      <x:c r="H11" s="30" t="n">
        <x:f>'02_WHEEL_VARIANTS'!S3</x:f>
        <x:v>1150</x:v>
      </x:c>
      <x:c r="I11" s="30" t="n">
        <x:f>G11/2</x:f>
        <x:v>800</x:v>
      </x:c>
      <x:c r="J11" s="10" t="str">
        <x:f>IF(H11&gt;=I11,"pass","fail")</x:f>
        <x:v>pass</x:v>
      </x:c>
      <x:c r="K11" s="10" t="str">
        <x:v>published</x:v>
      </x:c>
      <x:c r="L11" s="10" t="str">
        <x:v>internal_demo</x:v>
      </x:c>
      <x:c r="M11" s="10" t="str">
        <x:v>SRC-INTERNAL-DEMO-20260726</x:v>
      </x:c>
    </x:row>
    <x:row r="12" ht="24" hidden="0" customHeight="1">
      <x:c r="A12" s="9" t="str">
        <x:v>FITAX-TANK300-ATLAS-FRONT</x:v>
      </x:c>
      <x:c r="B12" s="9" t="str">
        <x:v>FIT-TANK300-ATLAS</x:v>
      </x:c>
      <x:c r="C12" s="9" t="str">
        <x:v>front</x:v>
      </x:c>
      <x:c r="D12" s="9" t="str">
        <x:v>BIZON-WHEEL-VAR-ATLAS-189-ETM12-6X1397</x:v>
      </x:c>
      <x:c r="E12" s="19" t="n">
        <x:v>2</x:v>
      </x:c>
      <x:c r="F12" s="9" t="str">
        <x:v>275/65R18</x:v>
      </x:c>
      <x:c r="G12" s="29" t="n">
        <x:f>'10_VEHICLES'!M5</x:f>
        <x:v>1450</x:v>
      </x:c>
      <x:c r="H12" s="29" t="n">
        <x:f>'02_WHEEL_VARIANTS'!S3</x:f>
        <x:v>1150</x:v>
      </x:c>
      <x:c r="I12" s="29" t="n">
        <x:f>G12/2</x:f>
        <x:v>725</x:v>
      </x:c>
      <x:c r="J12" s="9" t="str">
        <x:f>IF(H12&gt;=I12,"pass","fail")</x:f>
        <x:v>pass</x:v>
      </x:c>
      <x:c r="K12" s="9" t="str">
        <x:v>published</x:v>
      </x:c>
      <x:c r="L12" s="9" t="str">
        <x:v>internal_demo</x:v>
      </x:c>
      <x:c r="M12" s="9" t="str">
        <x:v>SRC-INTERNAL-DEMO-20260726</x:v>
      </x:c>
    </x:row>
    <x:row r="13" ht="24" hidden="0" customHeight="1">
      <x:c r="A13" s="10" t="str">
        <x:v>FITAX-TANK300-ATLAS-REAR</x:v>
      </x:c>
      <x:c r="B13" s="10" t="str">
        <x:v>FIT-TANK300-ATLAS</x:v>
      </x:c>
      <x:c r="C13" s="10" t="str">
        <x:v>rear</x:v>
      </x:c>
      <x:c r="D13" s="10" t="str">
        <x:v>BIZON-WHEEL-VAR-ATLAS-189-ETM12-6X1397</x:v>
      </x:c>
      <x:c r="E13" s="20" t="n">
        <x:v>2</x:v>
      </x:c>
      <x:c r="F13" s="10" t="str">
        <x:v>275/65R18</x:v>
      </x:c>
      <x:c r="G13" s="30" t="n">
        <x:f>'10_VEHICLES'!N5</x:f>
        <x:v>1650</x:v>
      </x:c>
      <x:c r="H13" s="30" t="n">
        <x:f>'02_WHEEL_VARIANTS'!S3</x:f>
        <x:v>1150</x:v>
      </x:c>
      <x:c r="I13" s="30" t="n">
        <x:f>G13/2</x:f>
        <x:v>825</x:v>
      </x:c>
      <x:c r="J13" s="10" t="str">
        <x:f>IF(H13&gt;=I13,"pass","fail")</x:f>
        <x:v>pass</x:v>
      </x:c>
      <x:c r="K13" s="10" t="str">
        <x:v>published</x:v>
      </x:c>
      <x:c r="L13" s="10" t="str">
        <x:v>internal_demo</x:v>
      </x:c>
      <x:c r="M13" s="10" t="str">
        <x:v>SRC-INTERNAL-DEMO-20260726</x:v>
      </x:c>
    </x:row>
    <x:row r="14" ht="24" hidden="0" customHeight="1">
      <x:c r="A14" s="9" t="str">
        <x:v>FITAX-LC300-NOMAD-FRONT</x:v>
      </x:c>
      <x:c r="B14" s="9" t="str">
        <x:v>FIT-LC300-NOMAD</x:v>
      </x:c>
      <x:c r="C14" s="9" t="str">
        <x:v>front</x:v>
      </x:c>
      <x:c r="D14" s="9" t="str">
        <x:v>BIZON-WHEEL-VAR-NOMAD-209-ET25-6X1397</x:v>
      </x:c>
      <x:c r="E14" s="19" t="n">
        <x:v>2</x:v>
      </x:c>
      <x:c r="F14" s="9" t="str">
        <x:v>285/50R20</x:v>
      </x:c>
      <x:c r="G14" s="29" t="n">
        <x:f>'10_VEHICLES'!M6</x:f>
        <x:v>1750</x:v>
      </x:c>
      <x:c r="H14" s="29" t="n">
        <x:f>'02_WHEEL_VARIANTS'!S14</x:f>
        <x:v>1100</x:v>
      </x:c>
      <x:c r="I14" s="29" t="n">
        <x:f>G14/2</x:f>
        <x:v>875</x:v>
      </x:c>
      <x:c r="J14" s="9" t="str">
        <x:f>IF(H14&gt;=I14,"pass","fail")</x:f>
        <x:v>pass</x:v>
      </x:c>
      <x:c r="K14" s="9" t="str">
        <x:v>published</x:v>
      </x:c>
      <x:c r="L14" s="9" t="str">
        <x:v>internal_demo</x:v>
      </x:c>
      <x:c r="M14" s="9" t="str">
        <x:v>SRC-INTERNAL-DEMO-20260726</x:v>
      </x:c>
    </x:row>
    <x:row r="15" ht="24" hidden="0" customHeight="1">
      <x:c r="A15" s="10" t="str">
        <x:v>FITAX-LC300-NOMAD-REAR</x:v>
      </x:c>
      <x:c r="B15" s="10" t="str">
        <x:v>FIT-LC300-NOMAD</x:v>
      </x:c>
      <x:c r="C15" s="10" t="str">
        <x:v>rear</x:v>
      </x:c>
      <x:c r="D15" s="10" t="str">
        <x:v>BIZON-WHEEL-VAR-NOMAD-209-ET25-6X1397</x:v>
      </x:c>
      <x:c r="E15" s="20" t="n">
        <x:v>2</x:v>
      </x:c>
      <x:c r="F15" s="10" t="str">
        <x:v>285/50R20</x:v>
      </x:c>
      <x:c r="G15" s="30" t="n">
        <x:f>'10_VEHICLES'!N6</x:f>
        <x:v>1950</x:v>
      </x:c>
      <x:c r="H15" s="30" t="n">
        <x:f>'02_WHEEL_VARIANTS'!S14</x:f>
        <x:v>1100</x:v>
      </x:c>
      <x:c r="I15" s="30" t="n">
        <x:f>G15/2</x:f>
        <x:v>975</x:v>
      </x:c>
      <x:c r="J15" s="10" t="str">
        <x:f>IF(H15&gt;=I15,"pass","fail")</x:f>
        <x:v>pass</x:v>
      </x:c>
      <x:c r="K15" s="10" t="str">
        <x:v>published</x:v>
      </x:c>
      <x:c r="L15" s="10" t="str">
        <x:v>internal_demo</x:v>
      </x:c>
      <x:c r="M15" s="10" t="str">
        <x:v>SRC-INTERNAL-DEMO-20260726</x:v>
      </x:c>
    </x:row>
    <x:row r="16" ht="24" hidden="0" customHeight="1">
      <x:c r="A16" s="9" t="str">
        <x:v>FITAX-HILUX-ATLAS-FRONT</x:v>
      </x:c>
      <x:c r="B16" s="9" t="str">
        <x:v>FIT-HILUX-ATLAS</x:v>
      </x:c>
      <x:c r="C16" s="9" t="str">
        <x:v>front</x:v>
      </x:c>
      <x:c r="D16" s="9" t="str">
        <x:v>BIZON-WHEEL-VAR-ATLAS-1785-ET0-6X1397</x:v>
      </x:c>
      <x:c r="E16" s="19" t="n">
        <x:v>2</x:v>
      </x:c>
      <x:c r="F16" s="9" t="str">
        <x:v>265/65R17</x:v>
      </x:c>
      <x:c r="G16" s="29" t="n">
        <x:f>'10_VEHICLES'!M7</x:f>
        <x:v>1450</x:v>
      </x:c>
      <x:c r="H16" s="29" t="n">
        <x:f>'02_WHEEL_VARIANTS'!S2</x:f>
        <x:v>1100</x:v>
      </x:c>
      <x:c r="I16" s="29" t="n">
        <x:f>G16/2</x:f>
        <x:v>725</x:v>
      </x:c>
      <x:c r="J16" s="9" t="str">
        <x:f>IF(H16&gt;=I16,"pass","fail")</x:f>
        <x:v>pass</x:v>
      </x:c>
      <x:c r="K16" s="9" t="str">
        <x:v>published</x:v>
      </x:c>
      <x:c r="L16" s="9" t="str">
        <x:v>internal_demo</x:v>
      </x:c>
      <x:c r="M16" s="9" t="str">
        <x:v>SRC-INTERNAL-DEMO-20260726</x:v>
      </x:c>
    </x:row>
    <x:row r="17" ht="24" hidden="0" customHeight="1">
      <x:c r="A17" s="10" t="str">
        <x:v>FITAX-HILUX-ATLAS-REAR</x:v>
      </x:c>
      <x:c r="B17" s="10" t="str">
        <x:v>FIT-HILUX-ATLAS</x:v>
      </x:c>
      <x:c r="C17" s="10" t="str">
        <x:v>rear</x:v>
      </x:c>
      <x:c r="D17" s="10" t="str">
        <x:v>BIZON-WHEEL-VAR-ATLAS-1785-ET0-6X1397</x:v>
      </x:c>
      <x:c r="E17" s="20" t="n">
        <x:v>2</x:v>
      </x:c>
      <x:c r="F17" s="10" t="str">
        <x:v>265/65R17</x:v>
      </x:c>
      <x:c r="G17" s="30" t="n">
        <x:f>'10_VEHICLES'!N7</x:f>
        <x:v>1950</x:v>
      </x:c>
      <x:c r="H17" s="30" t="n">
        <x:f>'02_WHEEL_VARIANTS'!S2</x:f>
        <x:v>1100</x:v>
      </x:c>
      <x:c r="I17" s="30" t="n">
        <x:f>G17/2</x:f>
        <x:v>975</x:v>
      </x:c>
      <x:c r="J17" s="10" t="str">
        <x:f>IF(H17&gt;=I17,"pass","fail")</x:f>
        <x:v>pass</x:v>
      </x:c>
      <x:c r="K17" s="10" t="str">
        <x:v>published</x:v>
      </x:c>
      <x:c r="L17" s="10" t="str">
        <x:v>internal_demo</x:v>
      </x:c>
      <x:c r="M17" s="10" t="str">
        <x:v>SRC-INTERNAL-DEMO-20260726</x:v>
      </x:c>
    </x:row>
    <x:row r="18" ht="24" hidden="0" customHeight="1">
      <x:c r="A18" s="9" t="str">
        <x:v>FITAX-GX550-ATLAS-FRONT</x:v>
      </x:c>
      <x:c r="B18" s="9" t="str">
        <x:v>FIT-GX550-ATLAS</x:v>
      </x:c>
      <x:c r="C18" s="9" t="str">
        <x:v>front</x:v>
      </x:c>
      <x:c r="D18" s="9" t="str">
        <x:v>BIZON-WHEEL-VAR-ATLAS-209-ET18-6X1397</x:v>
      </x:c>
      <x:c r="E18" s="19" t="n">
        <x:v>2</x:v>
      </x:c>
      <x:c r="F18" s="9" t="str">
        <x:v>275/55R20</x:v>
      </x:c>
      <x:c r="G18" s="29" t="n">
        <x:f>'10_VEHICLES'!M8</x:f>
        <x:v>1700</x:v>
      </x:c>
      <x:c r="H18" s="29" t="n">
        <x:f>'02_WHEEL_VARIANTS'!S4</x:f>
        <x:v>1050</x:v>
      </x:c>
      <x:c r="I18" s="29" t="n">
        <x:f>G18/2</x:f>
        <x:v>850</x:v>
      </x:c>
      <x:c r="J18" s="9" t="str">
        <x:f>IF(H18&gt;=I18,"pass","fail")</x:f>
        <x:v>pass</x:v>
      </x:c>
      <x:c r="K18" s="9" t="str">
        <x:v>published</x:v>
      </x:c>
      <x:c r="L18" s="9" t="str">
        <x:v>internal_demo</x:v>
      </x:c>
      <x:c r="M18" s="9" t="str">
        <x:v>SRC-INTERNAL-DEMO-20260726</x:v>
      </x:c>
    </x:row>
    <x:row r="19" ht="24" hidden="0" customHeight="1">
      <x:c r="A19" s="10" t="str">
        <x:v>FITAX-GX550-ATLAS-REAR</x:v>
      </x:c>
      <x:c r="B19" s="10" t="str">
        <x:v>FIT-GX550-ATLAS</x:v>
      </x:c>
      <x:c r="C19" s="10" t="str">
        <x:v>rear</x:v>
      </x:c>
      <x:c r="D19" s="10" t="str">
        <x:v>BIZON-WHEEL-VAR-ATLAS-209-ET18-6X1397</x:v>
      </x:c>
      <x:c r="E19" s="20" t="n">
        <x:v>2</x:v>
      </x:c>
      <x:c r="F19" s="10" t="str">
        <x:v>275/55R20</x:v>
      </x:c>
      <x:c r="G19" s="30" t="n">
        <x:f>'10_VEHICLES'!N8</x:f>
        <x:v>1900</x:v>
      </x:c>
      <x:c r="H19" s="30" t="n">
        <x:f>'02_WHEEL_VARIANTS'!S4</x:f>
        <x:v>1050</x:v>
      </x:c>
      <x:c r="I19" s="30" t="n">
        <x:f>G19/2</x:f>
        <x:v>950</x:v>
      </x:c>
      <x:c r="J19" s="10" t="str">
        <x:f>IF(H19&gt;=I19,"pass","fail")</x:f>
        <x:v>pass</x:v>
      </x:c>
      <x:c r="K19" s="10" t="str">
        <x:v>published</x:v>
      </x:c>
      <x:c r="L19" s="10" t="str">
        <x:v>internal_demo</x:v>
      </x:c>
      <x:c r="M19" s="10" t="str">
        <x:v>SRC-INTERNAL-DEMO-20260726</x:v>
      </x:c>
    </x:row>
    <x:row r="20" ht="24" hidden="0" customHeight="1">
      <x:c r="A20" s="9" t="str">
        <x:v>FITAX-SKYLINE-EMBER-FRONT</x:v>
      </x:c>
      <x:c r="B20" s="9" t="str">
        <x:v>FIT-SKYLINE-EMBER</x:v>
      </x:c>
      <x:c r="C20" s="9" t="str">
        <x:v>front</x:v>
      </x:c>
      <x:c r="D20" s="9" t="str">
        <x:v>BIZON-WHEEL-VAR-EMBER-1995-ET22-5X1143</x:v>
      </x:c>
      <x:c r="E20" s="19" t="n">
        <x:v>2</x:v>
      </x:c>
      <x:c r="F20" s="9" t="str">
        <x:v>245/35R19</x:v>
      </x:c>
      <x:c r="G20" s="29" t="n">
        <x:f>'10_VEHICLES'!M9</x:f>
        <x:v>1000</x:v>
      </x:c>
      <x:c r="H20" s="29" t="n">
        <x:f>'02_WHEEL_VARIANTS'!S17</x:f>
        <x:v>790</x:v>
      </x:c>
      <x:c r="I20" s="29" t="n">
        <x:f>G20/2</x:f>
        <x:v>500</x:v>
      </x:c>
      <x:c r="J20" s="9" t="str">
        <x:f>IF(H20&gt;=I20,"pass","fail")</x:f>
        <x:v>pass</x:v>
      </x:c>
      <x:c r="K20" s="9" t="str">
        <x:v>published</x:v>
      </x:c>
      <x:c r="L20" s="9" t="str">
        <x:v>internal_demo</x:v>
      </x:c>
      <x:c r="M20" s="9" t="str">
        <x:v>SRC-INTERNAL-DEMO-20260726</x:v>
      </x:c>
    </x:row>
    <x:row r="21" ht="24" hidden="0" customHeight="1">
      <x:c r="A21" s="10" t="str">
        <x:v>FITAX-SKYLINE-EMBER-REAR</x:v>
      </x:c>
      <x:c r="B21" s="10" t="str">
        <x:v>FIT-SKYLINE-EMBER</x:v>
      </x:c>
      <x:c r="C21" s="10" t="str">
        <x:v>rear</x:v>
      </x:c>
      <x:c r="D21" s="10" t="str">
        <x:v>BIZON-WHEEL-VAR-EMBER-19105-ET35-5X1143</x:v>
      </x:c>
      <x:c r="E21" s="20" t="n">
        <x:v>2</x:v>
      </x:c>
      <x:c r="F21" s="10" t="str">
        <x:v>275/30R19</x:v>
      </x:c>
      <x:c r="G21" s="30" t="n">
        <x:f>'10_VEHICLES'!N9</x:f>
        <x:v>1000</x:v>
      </x:c>
      <x:c r="H21" s="30" t="n">
        <x:f>'02_WHEEL_VARIANTS'!S18</x:f>
        <x:v>820</x:v>
      </x:c>
      <x:c r="I21" s="30" t="n">
        <x:f>G21/2</x:f>
        <x:v>500</x:v>
      </x:c>
      <x:c r="J21" s="10" t="str">
        <x:f>IF(H21&gt;=I21,"pass","fail")</x:f>
        <x:v>pass</x:v>
      </x:c>
      <x:c r="K21" s="10" t="str">
        <x:v>published</x:v>
      </x:c>
      <x:c r="L21" s="10" t="str">
        <x:v>internal_demo</x:v>
      </x:c>
      <x:c r="M21" s="10" t="str">
        <x:v>SRC-INTERNAL-DEMO-20260726</x:v>
      </x:c>
    </x:row>
  </x:sheetData>
  <x:conditionalFormatting sqref="K2:K21">
    <x:cfRule type="containsText" dxfId="117" priority="1" operator="containsText" text="published"/>
    <x:cfRule type="containsText" dxfId="118" priority="2" operator="containsText" text="ok"/>
    <x:cfRule type="containsText" dxfId="119" priority="3" operator="containsText" text="pass"/>
    <x:cfRule type="containsText" dxfId="120" priority="4" operator="containsText" text="compatible"/>
    <x:cfRule type="containsText" dxfId="121" priority="5" operator="containsText" text="review"/>
    <x:cfRule type="containsText" dxfId="122" priority="6" operator="containsText" text="conditional"/>
    <x:cfRule type="containsText" dxfId="123" priority="7" operator="containsText" text="error"/>
    <x:cfRule type="containsText" dxfId="124" priority="8" operator="containsText" text="fail"/>
    <x:cfRule type="containsText" dxfId="125" priority="9" operator="containsText" text="archived"/>
  </x:conditionalFormatting>
  <x:conditionalFormatting sqref="J2:J21">
    <x:cfRule type="containsText" dxfId="126" priority="10" operator="containsText" text="published"/>
    <x:cfRule type="containsText" dxfId="127" priority="11" operator="containsText" text="ok"/>
    <x:cfRule type="containsText" dxfId="128" priority="12" operator="containsText" text="pass"/>
    <x:cfRule type="containsText" dxfId="129" priority="13" operator="containsText" text="compatible"/>
    <x:cfRule type="containsText" dxfId="130" priority="14" operator="containsText" text="review"/>
    <x:cfRule type="containsText" dxfId="131" priority="15" operator="containsText" text="conditional"/>
    <x:cfRule type="containsText" dxfId="132" priority="16" operator="containsText" text="error"/>
    <x:cfRule type="containsText" dxfId="133" priority="17" operator="containsText" text="fail"/>
    <x:cfRule type="containsText" dxfId="134" priority="18" operator="containsText" text="archived"/>
  </x:conditionalFormatting>
  <x:dataValidations count="2">
    <x:dataValidation type="list" sqref="K2:K21">
      <x:formula1>"draft,review,published,archived"</x:formula1>
    </x:dataValidation>
    <x:dataValidation type="list" sqref="C2:C21">
      <x:formula1>"front,rear"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670c5cecfe426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3" hidden="0" customWidth="1"/>
    <x:col min="3" max="3" width="18" hidden="0" customWidth="1"/>
    <x:col min="4" max="4" width="13" hidden="0" customWidth="1"/>
    <x:col min="5" max="5" width="18" hidden="0" customWidth="1"/>
    <x:col min="6" max="6" width="20" hidden="0" customWidth="1"/>
    <x:col min="7" max="7" width="19" hidden="0" customWidth="1"/>
    <x:col min="8" max="8" width="15" hidden="0" customWidth="1"/>
    <x:col min="9" max="9" width="15" hidden="0" customWidth="1"/>
    <x:col min="10" max="10" width="20" hidden="0" customWidth="1"/>
    <x:col min="11" max="11" width="17" hidden="0" customWidth="1"/>
    <x:col min="12" max="12" width="20" hidden="0" customWidth="1"/>
    <x:col min="13" max="13" width="18" hidden="0" customWidth="1"/>
    <x:col min="14" max="14" width="18" hidden="0" customWidth="1"/>
    <x:col min="15" max="15" width="26" hidden="0" customWidth="1"/>
  </x:cols>
  <x:sheetData>
    <x:row r="1" ht="30" customHeight="1">
      <x:c r="A1" s="8" t="str">
        <x:v>installation_kit_id</x:v>
      </x:c>
      <x:c r="B1" s="8" t="str">
        <x:v>kit_name_ru</x:v>
      </x:c>
      <x:c r="C1" s="8" t="str">
        <x:v>fastener_type</x:v>
      </x:c>
      <x:c r="D1" s="8" t="str">
        <x:v>thread_spec</x:v>
      </x:c>
      <x:c r="E1" s="8" t="str">
        <x:v>seat_type</x:v>
      </x:c>
      <x:c r="F1" s="18" t="str">
        <x:v>fastener_length_mm</x:v>
      </x:c>
      <x:c r="G1" s="18" t="str">
        <x:v>fastener_quantity</x:v>
      </x:c>
      <x:c r="H1" s="18" t="str">
        <x:v>ring_outer_mm</x:v>
      </x:c>
      <x:c r="I1" s="18" t="str">
        <x:v>ring_inner_mm</x:v>
      </x:c>
      <x:c r="J1" s="8" t="str">
        <x:v>tightening_torque_nm</x:v>
      </x:c>
      <x:c r="K1" s="8" t="str">
        <x:v>spacers_allowed</x:v>
      </x:c>
      <x:c r="L1" s="8" t="str">
        <x:v>pcd_adapters_allowed</x:v>
      </x:c>
      <x:c r="M1" s="8" t="str">
        <x:v>lifecycle_status</x:v>
      </x:c>
      <x:c r="N1" s="8" t="str">
        <x:v>source_type</x:v>
      </x:c>
      <x:c r="O1" s="8" t="str">
        <x:v>source_id</x:v>
      </x:c>
    </x:row>
    <x:row r="2" ht="24" hidden="0" customHeight="1">
      <x:c r="A2" s="9" t="str">
        <x:v>KIT-JEEP-WRANGLER-JL-RUBICON</x:v>
      </x:c>
      <x:c r="B2" s="9" t="str">
        <x:v>Монтажный комплект Jeep Wrangler</x:v>
      </x:c>
      <x:c r="C2" s="9" t="str">
        <x:v>bolt_or_nut</x:v>
      </x:c>
      <x:c r="D2" s="9" t="str">
        <x:v>M14x1.5</x:v>
      </x:c>
      <x:c r="E2" s="9" t="str">
        <x:v>conical_60</x:v>
      </x:c>
      <x:c r="F2" s="35" t="n">
        <x:v>32</x:v>
      </x:c>
      <x:c r="G2" s="19" t="n">
        <x:v>20</x:v>
      </x:c>
      <x:c r="H2" s="37"/>
      <x:c r="I2" s="37"/>
      <x:c r="J2" s="39" t="n">
        <x:v>140</x:v>
      </x:c>
      <x:c r="K2" s="16" t="b">
        <x:v>0</x:v>
      </x:c>
      <x:c r="L2" s="16" t="b">
        <x:v>0</x:v>
      </x:c>
      <x:c r="M2" s="9" t="str">
        <x:v>published</x:v>
      </x:c>
      <x:c r="N2" s="9" t="str">
        <x:v>internal_demo</x:v>
      </x:c>
      <x:c r="O2" s="9" t="str">
        <x:v>SRC-INTERNAL-DEMO-20260726</x:v>
      </x:c>
    </x:row>
    <x:row r="3" ht="24" hidden="0" customHeight="1">
      <x:c r="A3" s="10" t="str">
        <x:v>KIT-JEEP-GLADIATOR-JT</x:v>
      </x:c>
      <x:c r="B3" s="10" t="str">
        <x:v>Монтажный комплект Jeep Gladiator</x:v>
      </x:c>
      <x:c r="C3" s="10" t="str">
        <x:v>bolt_or_nut</x:v>
      </x:c>
      <x:c r="D3" s="10" t="str">
        <x:v>M14x1.5</x:v>
      </x:c>
      <x:c r="E3" s="10" t="str">
        <x:v>conical_60</x:v>
      </x:c>
      <x:c r="F3" s="36" t="n">
        <x:v>35</x:v>
      </x:c>
      <x:c r="G3" s="20" t="n">
        <x:v>20</x:v>
      </x:c>
      <x:c r="H3" s="38"/>
      <x:c r="I3" s="38"/>
      <x:c r="J3" s="40" t="n">
        <x:v>140</x:v>
      </x:c>
      <x:c r="K3" s="17" t="b">
        <x:v>0</x:v>
      </x:c>
      <x:c r="L3" s="17" t="b">
        <x:v>0</x:v>
      </x:c>
      <x:c r="M3" s="10" t="str">
        <x:v>published</x:v>
      </x:c>
      <x:c r="N3" s="10" t="str">
        <x:v>internal_demo</x:v>
      </x:c>
      <x:c r="O3" s="10" t="str">
        <x:v>SRC-INTERNAL-DEMO-20260726</x:v>
      </x:c>
    </x:row>
    <x:row r="4" ht="24" hidden="0" customHeight="1">
      <x:c r="A4" s="9" t="str">
        <x:v>KIT-FORD-BRONCO-VI</x:v>
      </x:c>
      <x:c r="B4" s="9" t="str">
        <x:v>Монтажный комплект Ford Bronco</x:v>
      </x:c>
      <x:c r="C4" s="9" t="str">
        <x:v>bolt_or_nut</x:v>
      </x:c>
      <x:c r="D4" s="9" t="str">
        <x:v>M14x1.5</x:v>
      </x:c>
      <x:c r="E4" s="9" t="str">
        <x:v>conical_60</x:v>
      </x:c>
      <x:c r="F4" s="35" t="n">
        <x:v>32</x:v>
      </x:c>
      <x:c r="G4" s="19" t="n">
        <x:v>24</x:v>
      </x:c>
      <x:c r="H4" s="37" t="n">
        <x:v>106.1</x:v>
      </x:c>
      <x:c r="I4" s="37" t="n">
        <x:v>93.1</x:v>
      </x:c>
      <x:c r="J4" s="39" t="n">
        <x:v>140</x:v>
      </x:c>
      <x:c r="K4" s="16" t="b">
        <x:v>0</x:v>
      </x:c>
      <x:c r="L4" s="16" t="b">
        <x:v>0</x:v>
      </x:c>
      <x:c r="M4" s="9" t="str">
        <x:v>published</x:v>
      </x:c>
      <x:c r="N4" s="9" t="str">
        <x:v>internal_demo</x:v>
      </x:c>
      <x:c r="O4" s="9" t="str">
        <x:v>SRC-INTERNAL-DEMO-20260726</x:v>
      </x:c>
    </x:row>
    <x:row r="5" ht="24" hidden="0" customHeight="1">
      <x:c r="A5" s="10" t="str">
        <x:v>KIT-TANK-300-I</x:v>
      </x:c>
      <x:c r="B5" s="10" t="str">
        <x:v>Монтажный комплект TANK 300</x:v>
      </x:c>
      <x:c r="C5" s="10" t="str">
        <x:v>bolt_or_nut</x:v>
      </x:c>
      <x:c r="D5" s="10" t="str">
        <x:v>M14x1.5</x:v>
      </x:c>
      <x:c r="E5" s="10" t="str">
        <x:v>conical_60</x:v>
      </x:c>
      <x:c r="F5" s="36" t="n">
        <x:v>35</x:v>
      </x:c>
      <x:c r="G5" s="20" t="n">
        <x:v>24</x:v>
      </x:c>
      <x:c r="H5" s="38" t="n">
        <x:v>106.1</x:v>
      </x:c>
      <x:c r="I5" s="38" t="n">
        <x:v>100.1</x:v>
      </x:c>
      <x:c r="J5" s="40" t="n">
        <x:v>140</x:v>
      </x:c>
      <x:c r="K5" s="17" t="b">
        <x:v>0</x:v>
      </x:c>
      <x:c r="L5" s="17" t="b">
        <x:v>0</x:v>
      </x:c>
      <x:c r="M5" s="10" t="str">
        <x:v>published</x:v>
      </x:c>
      <x:c r="N5" s="10" t="str">
        <x:v>internal_demo</x:v>
      </x:c>
      <x:c r="O5" s="10" t="str">
        <x:v>SRC-INTERNAL-DEMO-20260726</x:v>
      </x:c>
    </x:row>
    <x:row r="6" ht="24" hidden="0" customHeight="1">
      <x:c r="A6" s="9" t="str">
        <x:v>KIT-TOYOTA-LC300</x:v>
      </x:c>
      <x:c r="B6" s="9" t="str">
        <x:v>Монтажный комплект Toyota Land Cruiser</x:v>
      </x:c>
      <x:c r="C6" s="9" t="str">
        <x:v>nut</x:v>
      </x:c>
      <x:c r="D6" s="9" t="str">
        <x:v>M14x1.5</x:v>
      </x:c>
      <x:c r="E6" s="9" t="str">
        <x:v>conical_60</x:v>
      </x:c>
      <x:c r="F6" s="35" t="n">
        <x:v>32</x:v>
      </x:c>
      <x:c r="G6" s="19" t="n">
        <x:v>24</x:v>
      </x:c>
      <x:c r="H6" s="37" t="n">
        <x:v>106.1</x:v>
      </x:c>
      <x:c r="I6" s="37" t="n">
        <x:v>95.1</x:v>
      </x:c>
      <x:c r="J6" s="39" t="n">
        <x:v>140</x:v>
      </x:c>
      <x:c r="K6" s="16" t="b">
        <x:v>0</x:v>
      </x:c>
      <x:c r="L6" s="16" t="b">
        <x:v>0</x:v>
      </x:c>
      <x:c r="M6" s="9" t="str">
        <x:v>published</x:v>
      </x:c>
      <x:c r="N6" s="9" t="str">
        <x:v>internal_demo</x:v>
      </x:c>
      <x:c r="O6" s="9" t="str">
        <x:v>SRC-INTERNAL-DEMO-20260726</x:v>
      </x:c>
    </x:row>
    <x:row r="7" ht="24" hidden="0" customHeight="1">
      <x:c r="A7" s="10" t="str">
        <x:v>KIT-TOYOTA-HILUX-VIII</x:v>
      </x:c>
      <x:c r="B7" s="10" t="str">
        <x:v>Монтажный комплект Toyota Hilux</x:v>
      </x:c>
      <x:c r="C7" s="10" t="str">
        <x:v>nut</x:v>
      </x:c>
      <x:c r="D7" s="10" t="str">
        <x:v>M14x1.5</x:v>
      </x:c>
      <x:c r="E7" s="10" t="str">
        <x:v>conical_60</x:v>
      </x:c>
      <x:c r="F7" s="36" t="n">
        <x:v>35</x:v>
      </x:c>
      <x:c r="G7" s="20" t="n">
        <x:v>24</x:v>
      </x:c>
      <x:c r="H7" s="38"/>
      <x:c r="I7" s="38"/>
      <x:c r="J7" s="40" t="n">
        <x:v>140</x:v>
      </x:c>
      <x:c r="K7" s="17" t="b">
        <x:v>0</x:v>
      </x:c>
      <x:c r="L7" s="17" t="b">
        <x:v>0</x:v>
      </x:c>
      <x:c r="M7" s="10" t="str">
        <x:v>published</x:v>
      </x:c>
      <x:c r="N7" s="10" t="str">
        <x:v>internal_demo</x:v>
      </x:c>
      <x:c r="O7" s="10" t="str">
        <x:v>SRC-INTERNAL-DEMO-20260726</x:v>
      </x:c>
    </x:row>
    <x:row r="8" ht="24" hidden="0" customHeight="1">
      <x:c r="A8" s="9" t="str">
        <x:v>KIT-LEXUS-GX550</x:v>
      </x:c>
      <x:c r="B8" s="9" t="str">
        <x:v>Монтажный комплект Lexus GX</x:v>
      </x:c>
      <x:c r="C8" s="9" t="str">
        <x:v>nut</x:v>
      </x:c>
      <x:c r="D8" s="9" t="str">
        <x:v>M14x1.5</x:v>
      </x:c>
      <x:c r="E8" s="9" t="str">
        <x:v>conical_60</x:v>
      </x:c>
      <x:c r="F8" s="35" t="n">
        <x:v>32</x:v>
      </x:c>
      <x:c r="G8" s="19" t="n">
        <x:v>24</x:v>
      </x:c>
      <x:c r="H8" s="37" t="n">
        <x:v>106.1</x:v>
      </x:c>
      <x:c r="I8" s="37" t="n">
        <x:v>95.1</x:v>
      </x:c>
      <x:c r="J8" s="39" t="n">
        <x:v>140</x:v>
      </x:c>
      <x:c r="K8" s="16" t="b">
        <x:v>0</x:v>
      </x:c>
      <x:c r="L8" s="16" t="b">
        <x:v>0</x:v>
      </x:c>
      <x:c r="M8" s="9" t="str">
        <x:v>published</x:v>
      </x:c>
      <x:c r="N8" s="9" t="str">
        <x:v>internal_demo</x:v>
      </x:c>
      <x:c r="O8" s="9" t="str">
        <x:v>SRC-INTERNAL-DEMO-20260726</x:v>
      </x:c>
    </x:row>
    <x:row r="9" ht="24" hidden="0" customHeight="1">
      <x:c r="A9" s="10" t="str">
        <x:v>KIT-NISSAN-SKYLINE-R34</x:v>
      </x:c>
      <x:c r="B9" s="10" t="str">
        <x:v>Монтажный комплект Nissan Skyline</x:v>
      </x:c>
      <x:c r="C9" s="10" t="str">
        <x:v>bolt_or_nut</x:v>
      </x:c>
      <x:c r="D9" s="10" t="str">
        <x:v>M12x1.25</x:v>
      </x:c>
      <x:c r="E9" s="10" t="str">
        <x:v>conical_60</x:v>
      </x:c>
      <x:c r="F9" s="36" t="n">
        <x:v>35</x:v>
      </x:c>
      <x:c r="G9" s="20" t="n">
        <x:v>20</x:v>
      </x:c>
      <x:c r="H9" s="38"/>
      <x:c r="I9" s="38"/>
      <x:c r="J9" s="40" t="n">
        <x:v>120</x:v>
      </x:c>
      <x:c r="K9" s="17" t="b">
        <x:v>0</x:v>
      </x:c>
      <x:c r="L9" s="17" t="b">
        <x:v>0</x:v>
      </x:c>
      <x:c r="M9" s="10" t="str">
        <x:v>published</x:v>
      </x:c>
      <x:c r="N9" s="10" t="str">
        <x:v>internal_demo</x:v>
      </x:c>
      <x:c r="O9" s="10" t="str">
        <x:v>SRC-INTERNAL-DEMO-20260726</x:v>
      </x:c>
    </x:row>
  </x:sheetData>
  <x:conditionalFormatting sqref="M2:M9">
    <x:cfRule type="containsText" dxfId="135" priority="1" operator="containsText" text="published"/>
    <x:cfRule type="containsText" dxfId="136" priority="2" operator="containsText" text="ok"/>
    <x:cfRule type="containsText" dxfId="137" priority="3" operator="containsText" text="pass"/>
    <x:cfRule type="containsText" dxfId="138" priority="4" operator="containsText" text="compatible"/>
    <x:cfRule type="containsText" dxfId="139" priority="5" operator="containsText" text="review"/>
    <x:cfRule type="containsText" dxfId="140" priority="6" operator="containsText" text="conditional"/>
    <x:cfRule type="containsText" dxfId="141" priority="7" operator="containsText" text="error"/>
    <x:cfRule type="containsText" dxfId="142" priority="8" operator="containsText" text="fail"/>
    <x:cfRule type="containsText" dxfId="143" priority="9" operator="containsText" text="archived"/>
  </x:conditionalFormatting>
  <x:dataValidations count="1">
    <x:dataValidation type="list" sqref="M2:M9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dcfe132ac046fc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30" hidden="0" customWidth="1"/>
    <x:col min="4" max="4" width="12" hidden="0" customWidth="1"/>
    <x:col min="5" max="5" width="13" hidden="0" customWidth="1"/>
    <x:col min="6" max="6" width="15" hidden="0" customWidth="1"/>
    <x:col min="7" max="7" width="20" hidden="0" customWidth="1"/>
    <x:col min="8" max="8" width="15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8" t="str">
        <x:v>media_id</x:v>
      </x:c>
      <x:c r="B1" s="8" t="str">
        <x:v>model_id</x:v>
      </x:c>
      <x:c r="C1" s="8" t="str">
        <x:v>asset_path</x:v>
      </x:c>
      <x:c r="D1" s="8" t="str">
        <x:v>media_role</x:v>
      </x:c>
      <x:c r="E1" s="8" t="str">
        <x:v>alt_text_ru</x:v>
      </x:c>
      <x:c r="F1" s="18" t="str">
        <x:v>display_order</x:v>
      </x:c>
      <x:c r="G1" s="8" t="str">
        <x:v>payload_collection</x:v>
      </x:c>
      <x:c r="H1" s="8" t="str">
        <x:v>payload_field</x:v>
      </x:c>
      <x:c r="I1" s="8" t="str">
        <x:v>lifecycle_status</x:v>
      </x:c>
      <x:c r="J1" s="8" t="str">
        <x:v>source_type</x:v>
      </x:c>
      <x:c r="K1" s="8" t="str">
        <x:v>source_id</x:v>
      </x:c>
    </x:row>
    <x:row r="2" ht="24" hidden="0" customHeight="1">
      <x:c r="A2" s="9" t="str">
        <x:v>MEDIA-ATLAS-HERO</x:v>
      </x:c>
      <x:c r="B2" s="9" t="str">
        <x:v>BIZON-WHEEL-MODEL-ATLAS</x:v>
      </x:c>
      <x:c r="C2" s="9" t="str">
        <x:v>/images/premium/shop/wheels/atlas/bizon-atlas-hero-3q.png</x:v>
      </x:c>
      <x:c r="D2" s="9" t="str">
        <x:v>hero</x:v>
      </x:c>
      <x:c r="E2" s="9" t="str">
        <x:v>BIZON Atlas, главный ракурс</x:v>
      </x:c>
      <x:c r="F2" s="19" t="n">
        <x:v>10</x:v>
      </x:c>
      <x:c r="G2" s="9" t="str">
        <x:v>media</x:v>
      </x:c>
      <x:c r="H2" s="9" t="str">
        <x:v>mainImage</x:v>
      </x:c>
      <x:c r="I2" s="9" t="str">
        <x:v>published</x:v>
      </x:c>
      <x:c r="J2" s="9" t="str">
        <x:v>repository</x:v>
      </x:c>
      <x:c r="K2" s="9" t="str">
        <x:v>SRC-REPO-WHEEL-MEDIA</x:v>
      </x:c>
    </x:row>
    <x:row r="3" ht="36" hidden="0" customHeight="1">
      <x:c r="A3" s="10" t="str">
        <x:v>MEDIA-ATLAS-FRONT</x:v>
      </x:c>
      <x:c r="B3" s="10" t="str">
        <x:v>BIZON-WHEEL-MODEL-ATLAS</x:v>
      </x:c>
      <x:c r="C3" s="10" t="str">
        <x:v>/images/premium/shop/wheels/atlas/bizon-atlas-front.png</x:v>
      </x:c>
      <x:c r="D3" s="10" t="str">
        <x:v>front</x:v>
      </x:c>
      <x:c r="E3" s="10" t="str">
        <x:v>BIZON Atlas, фронтальный вид</x:v>
      </x:c>
      <x:c r="F3" s="20" t="n">
        <x:v>20</x:v>
      </x:c>
      <x:c r="G3" s="10" t="str">
        <x:v>media</x:v>
      </x:c>
      <x:c r="H3" s="10" t="str">
        <x:v>gallery</x:v>
      </x:c>
      <x:c r="I3" s="10" t="str">
        <x:v>published</x:v>
      </x:c>
      <x:c r="J3" s="10" t="str">
        <x:v>repository</x:v>
      </x:c>
      <x:c r="K3" s="10" t="str">
        <x:v>SRC-REPO-WHEEL-MEDIA</x:v>
      </x:c>
    </x:row>
    <x:row r="4" ht="36" hidden="0" customHeight="1">
      <x:c r="A4" s="9" t="str">
        <x:v>MEDIA-ATLAS-DEPTH</x:v>
      </x:c>
      <x:c r="B4" s="9" t="str">
        <x:v>BIZON-WHEEL-MODEL-ATLAS</x:v>
      </x:c>
      <x:c r="C4" s="9" t="str">
        <x:v>/images/premium/shop/wheels/atlas/bizon-atlas-depth-3q.png</x:v>
      </x:c>
      <x:c r="D4" s="9" t="str">
        <x:v>depth</x:v>
      </x:c>
      <x:c r="E4" s="9" t="str">
        <x:v>BIZON Atlas, объём и глубина профиля</x:v>
      </x:c>
      <x:c r="F4" s="19" t="n">
        <x:v>30</x:v>
      </x:c>
      <x:c r="G4" s="9" t="str">
        <x:v>media</x:v>
      </x:c>
      <x:c r="H4" s="9" t="str">
        <x:v>gallery</x:v>
      </x:c>
      <x:c r="I4" s="9" t="str">
        <x:v>published</x:v>
      </x:c>
      <x:c r="J4" s="9" t="str">
        <x:v>repository</x:v>
      </x:c>
      <x:c r="K4" s="9" t="str">
        <x:v>SRC-REPO-WHEEL-MEDIA</x:v>
      </x:c>
    </x:row>
    <x:row r="5" ht="36" hidden="0" customHeight="1">
      <x:c r="A5" s="10" t="str">
        <x:v>MEDIA-ATLAS-DETAIL</x:v>
      </x:c>
      <x:c r="B5" s="10" t="str">
        <x:v>BIZON-WHEEL-MODEL-ATLAS</x:v>
      </x:c>
      <x:c r="C5" s="10" t="str">
        <x:v>/images/premium/shop/wheels/atlas/bizon-atlas-detail.png</x:v>
      </x:c>
      <x:c r="D5" s="10" t="str">
        <x:v>detail</x:v>
      </x:c>
      <x:c r="E5" s="10" t="str">
        <x:v>BIZON Atlas, деталь поверхности</x:v>
      </x:c>
      <x:c r="F5" s="20" t="n">
        <x:v>40</x:v>
      </x:c>
      <x:c r="G5" s="10" t="str">
        <x:v>media</x:v>
      </x:c>
      <x:c r="H5" s="10" t="str">
        <x:v>gallery</x:v>
      </x:c>
      <x:c r="I5" s="10" t="str">
        <x:v>published</x:v>
      </x:c>
      <x:c r="J5" s="10" t="str">
        <x:v>repository</x:v>
      </x:c>
      <x:c r="K5" s="10" t="str">
        <x:v>SRC-REPO-WHEEL-MEDIA</x:v>
      </x:c>
    </x:row>
    <x:row r="6" ht="24" hidden="0" customHeight="1">
      <x:c r="A6" s="9" t="str">
        <x:v>MEDIA-VECTOR-HERO</x:v>
      </x:c>
      <x:c r="B6" s="9" t="str">
        <x:v>BIZON-WHEEL-MODEL-VECTOR</x:v>
      </x:c>
      <x:c r="C6" s="9" t="str">
        <x:v>/images/premium/shop/wheels/vector/bizon-vector-hero-3q.png</x:v>
      </x:c>
      <x:c r="D6" s="9" t="str">
        <x:v>hero</x:v>
      </x:c>
      <x:c r="E6" s="9" t="str">
        <x:v>BIZON Vector, главный ракурс</x:v>
      </x:c>
      <x:c r="F6" s="19" t="n">
        <x:v>10</x:v>
      </x:c>
      <x:c r="G6" s="9" t="str">
        <x:v>media</x:v>
      </x:c>
      <x:c r="H6" s="9" t="str">
        <x:v>mainImage</x:v>
      </x:c>
      <x:c r="I6" s="9" t="str">
        <x:v>published</x:v>
      </x:c>
      <x:c r="J6" s="9" t="str">
        <x:v>repository</x:v>
      </x:c>
      <x:c r="K6" s="9" t="str">
        <x:v>SRC-REPO-WHEEL-MEDIA</x:v>
      </x:c>
    </x:row>
    <x:row r="7" ht="36" hidden="0" customHeight="1">
      <x:c r="A7" s="10" t="str">
        <x:v>MEDIA-VECTOR-FRONT</x:v>
      </x:c>
      <x:c r="B7" s="10" t="str">
        <x:v>BIZON-WHEEL-MODEL-VECTOR</x:v>
      </x:c>
      <x:c r="C7" s="10" t="str">
        <x:v>/images/premium/shop/wheels/vector/bizon-vector-front.png</x:v>
      </x:c>
      <x:c r="D7" s="10" t="str">
        <x:v>front</x:v>
      </x:c>
      <x:c r="E7" s="10" t="str">
        <x:v>BIZON Vector, фронтальный вид</x:v>
      </x:c>
      <x:c r="F7" s="20" t="n">
        <x:v>20</x:v>
      </x:c>
      <x:c r="G7" s="10" t="str">
        <x:v>media</x:v>
      </x:c>
      <x:c r="H7" s="10" t="str">
        <x:v>gallery</x:v>
      </x:c>
      <x:c r="I7" s="10" t="str">
        <x:v>published</x:v>
      </x:c>
      <x:c r="J7" s="10" t="str">
        <x:v>repository</x:v>
      </x:c>
      <x:c r="K7" s="10" t="str">
        <x:v>SRC-REPO-WHEEL-MEDIA</x:v>
      </x:c>
    </x:row>
    <x:row r="8" ht="36" hidden="0" customHeight="1">
      <x:c r="A8" s="9" t="str">
        <x:v>MEDIA-VECTOR-DEPTH</x:v>
      </x:c>
      <x:c r="B8" s="9" t="str">
        <x:v>BIZON-WHEEL-MODEL-VECTOR</x:v>
      </x:c>
      <x:c r="C8" s="9" t="str">
        <x:v>/images/premium/shop/wheels/vector/bizon-vector-depth-3q.png</x:v>
      </x:c>
      <x:c r="D8" s="9" t="str">
        <x:v>depth</x:v>
      </x:c>
      <x:c r="E8" s="9" t="str">
        <x:v>BIZON Vector, объём и глубина профиля</x:v>
      </x:c>
      <x:c r="F8" s="19" t="n">
        <x:v>30</x:v>
      </x:c>
      <x:c r="G8" s="9" t="str">
        <x:v>media</x:v>
      </x:c>
      <x:c r="H8" s="9" t="str">
        <x:v>gallery</x:v>
      </x:c>
      <x:c r="I8" s="9" t="str">
        <x:v>published</x:v>
      </x:c>
      <x:c r="J8" s="9" t="str">
        <x:v>repository</x:v>
      </x:c>
      <x:c r="K8" s="9" t="str">
        <x:v>SRC-REPO-WHEEL-MEDIA</x:v>
      </x:c>
    </x:row>
    <x:row r="9" ht="36" hidden="0" customHeight="1">
      <x:c r="A9" s="10" t="str">
        <x:v>MEDIA-VECTOR-DETAIL</x:v>
      </x:c>
      <x:c r="B9" s="10" t="str">
        <x:v>BIZON-WHEEL-MODEL-VECTOR</x:v>
      </x:c>
      <x:c r="C9" s="10" t="str">
        <x:v>/images/premium/shop/wheels/vector/bizon-vector-detail.png</x:v>
      </x:c>
      <x:c r="D9" s="10" t="str">
        <x:v>detail</x:v>
      </x:c>
      <x:c r="E9" s="10" t="str">
        <x:v>BIZON Vector, деталь поверхности</x:v>
      </x:c>
      <x:c r="F9" s="20" t="n">
        <x:v>40</x:v>
      </x:c>
      <x:c r="G9" s="10" t="str">
        <x:v>media</x:v>
      </x:c>
      <x:c r="H9" s="10" t="str">
        <x:v>gallery</x:v>
      </x:c>
      <x:c r="I9" s="10" t="str">
        <x:v>published</x:v>
      </x:c>
      <x:c r="J9" s="10" t="str">
        <x:v>repository</x:v>
      </x:c>
      <x:c r="K9" s="10" t="str">
        <x:v>SRC-REPO-WHEEL-MEDIA</x:v>
      </x:c>
    </x:row>
    <x:row r="10" ht="24" hidden="0" customHeight="1">
      <x:c r="A10" s="9" t="str">
        <x:v>MEDIA-NOMAD-HERO</x:v>
      </x:c>
      <x:c r="B10" s="9" t="str">
        <x:v>BIZON-WHEEL-MODEL-NOMAD</x:v>
      </x:c>
      <x:c r="C10" s="9" t="str">
        <x:v>/images/premium/shop/wheels/nomad/bizon-nomad-hero-3q.png</x:v>
      </x:c>
      <x:c r="D10" s="9" t="str">
        <x:v>hero</x:v>
      </x:c>
      <x:c r="E10" s="9" t="str">
        <x:v>BIZON Nomad, главный ракурс</x:v>
      </x:c>
      <x:c r="F10" s="19" t="n">
        <x:v>10</x:v>
      </x:c>
      <x:c r="G10" s="9" t="str">
        <x:v>media</x:v>
      </x:c>
      <x:c r="H10" s="9" t="str">
        <x:v>mainImage</x:v>
      </x:c>
      <x:c r="I10" s="9" t="str">
        <x:v>published</x:v>
      </x:c>
      <x:c r="J10" s="9" t="str">
        <x:v>repository</x:v>
      </x:c>
      <x:c r="K10" s="9" t="str">
        <x:v>SRC-REPO-WHEEL-MEDIA</x:v>
      </x:c>
    </x:row>
    <x:row r="11" ht="36" hidden="0" customHeight="1">
      <x:c r="A11" s="10" t="str">
        <x:v>MEDIA-NOMAD-FRONT</x:v>
      </x:c>
      <x:c r="B11" s="10" t="str">
        <x:v>BIZON-WHEEL-MODEL-NOMAD</x:v>
      </x:c>
      <x:c r="C11" s="10" t="str">
        <x:v>/images/premium/shop/wheels/nomad/bizon-nomad-front.png</x:v>
      </x:c>
      <x:c r="D11" s="10" t="str">
        <x:v>front</x:v>
      </x:c>
      <x:c r="E11" s="10" t="str">
        <x:v>BIZON Nomad, фронтальный вид</x:v>
      </x:c>
      <x:c r="F11" s="20" t="n">
        <x:v>20</x:v>
      </x:c>
      <x:c r="G11" s="10" t="str">
        <x:v>media</x:v>
      </x:c>
      <x:c r="H11" s="10" t="str">
        <x:v>gallery</x:v>
      </x:c>
      <x:c r="I11" s="10" t="str">
        <x:v>published</x:v>
      </x:c>
      <x:c r="J11" s="10" t="str">
        <x:v>repository</x:v>
      </x:c>
      <x:c r="K11" s="10" t="str">
        <x:v>SRC-REPO-WHEEL-MEDIA</x:v>
      </x:c>
    </x:row>
    <x:row r="12" ht="36" hidden="0" customHeight="1">
      <x:c r="A12" s="9" t="str">
        <x:v>MEDIA-NOMAD-DEPTH</x:v>
      </x:c>
      <x:c r="B12" s="9" t="str">
        <x:v>BIZON-WHEEL-MODEL-NOMAD</x:v>
      </x:c>
      <x:c r="C12" s="9" t="str">
        <x:v>/images/premium/shop/wheels/nomad/bizon-nomad-depth-3q.png</x:v>
      </x:c>
      <x:c r="D12" s="9" t="str">
        <x:v>depth</x:v>
      </x:c>
      <x:c r="E12" s="9" t="str">
        <x:v>BIZON Nomad, объём и глубина профиля</x:v>
      </x:c>
      <x:c r="F12" s="19" t="n">
        <x:v>30</x:v>
      </x:c>
      <x:c r="G12" s="9" t="str">
        <x:v>media</x:v>
      </x:c>
      <x:c r="H12" s="9" t="str">
        <x:v>gallery</x:v>
      </x:c>
      <x:c r="I12" s="9" t="str">
        <x:v>published</x:v>
      </x:c>
      <x:c r="J12" s="9" t="str">
        <x:v>repository</x:v>
      </x:c>
      <x:c r="K12" s="9" t="str">
        <x:v>SRC-REPO-WHEEL-MEDIA</x:v>
      </x:c>
    </x:row>
    <x:row r="13" ht="36" hidden="0" customHeight="1">
      <x:c r="A13" s="10" t="str">
        <x:v>MEDIA-NOMAD-DETAIL</x:v>
      </x:c>
      <x:c r="B13" s="10" t="str">
        <x:v>BIZON-WHEEL-MODEL-NOMAD</x:v>
      </x:c>
      <x:c r="C13" s="10" t="str">
        <x:v>/images/premium/shop/wheels/nomad/bizon-nomad-detail.png</x:v>
      </x:c>
      <x:c r="D13" s="10" t="str">
        <x:v>detail</x:v>
      </x:c>
      <x:c r="E13" s="10" t="str">
        <x:v>BIZON Nomad, деталь поверхности</x:v>
      </x:c>
      <x:c r="F13" s="20" t="n">
        <x:v>40</x:v>
      </x:c>
      <x:c r="G13" s="10" t="str">
        <x:v>media</x:v>
      </x:c>
      <x:c r="H13" s="10" t="str">
        <x:v>gallery</x:v>
      </x:c>
      <x:c r="I13" s="10" t="str">
        <x:v>published</x:v>
      </x:c>
      <x:c r="J13" s="10" t="str">
        <x:v>repository</x:v>
      </x:c>
      <x:c r="K13" s="10" t="str">
        <x:v>SRC-REPO-WHEEL-MEDIA</x:v>
      </x:c>
    </x:row>
    <x:row r="14" ht="24" hidden="0" customHeight="1">
      <x:c r="A14" s="9" t="str">
        <x:v>MEDIA-EMBER-HERO</x:v>
      </x:c>
      <x:c r="B14" s="9" t="str">
        <x:v>BIZON-WHEEL-MODEL-EMBER</x:v>
      </x:c>
      <x:c r="C14" s="9" t="str">
        <x:v>/images/premium/shop/wheels/ember/bizon-ember-hero-3q.png</x:v>
      </x:c>
      <x:c r="D14" s="9" t="str">
        <x:v>hero</x:v>
      </x:c>
      <x:c r="E14" s="9" t="str">
        <x:v>BIZON Ember, главный ракурс</x:v>
      </x:c>
      <x:c r="F14" s="19" t="n">
        <x:v>10</x:v>
      </x:c>
      <x:c r="G14" s="9" t="str">
        <x:v>media</x:v>
      </x:c>
      <x:c r="H14" s="9" t="str">
        <x:v>mainImage</x:v>
      </x:c>
      <x:c r="I14" s="9" t="str">
        <x:v>published</x:v>
      </x:c>
      <x:c r="J14" s="9" t="str">
        <x:v>repository</x:v>
      </x:c>
      <x:c r="K14" s="9" t="str">
        <x:v>SRC-REPO-WHEEL-MEDIA</x:v>
      </x:c>
    </x:row>
    <x:row r="15" ht="36" hidden="0" customHeight="1">
      <x:c r="A15" s="10" t="str">
        <x:v>MEDIA-EMBER-FRONT</x:v>
      </x:c>
      <x:c r="B15" s="10" t="str">
        <x:v>BIZON-WHEEL-MODEL-EMBER</x:v>
      </x:c>
      <x:c r="C15" s="10" t="str">
        <x:v>/images/premium/shop/wheels/ember/bizon-ember-front.png</x:v>
      </x:c>
      <x:c r="D15" s="10" t="str">
        <x:v>front</x:v>
      </x:c>
      <x:c r="E15" s="10" t="str">
        <x:v>BIZON Ember, фронтальный вид</x:v>
      </x:c>
      <x:c r="F15" s="20" t="n">
        <x:v>20</x:v>
      </x:c>
      <x:c r="G15" s="10" t="str">
        <x:v>media</x:v>
      </x:c>
      <x:c r="H15" s="10" t="str">
        <x:v>gallery</x:v>
      </x:c>
      <x:c r="I15" s="10" t="str">
        <x:v>published</x:v>
      </x:c>
      <x:c r="J15" s="10" t="str">
        <x:v>repository</x:v>
      </x:c>
      <x:c r="K15" s="10" t="str">
        <x:v>SRC-REPO-WHEEL-MEDIA</x:v>
      </x:c>
    </x:row>
    <x:row r="16" ht="36" hidden="0" customHeight="1">
      <x:c r="A16" s="9" t="str">
        <x:v>MEDIA-EMBER-DEPTH</x:v>
      </x:c>
      <x:c r="B16" s="9" t="str">
        <x:v>BIZON-WHEEL-MODEL-EMBER</x:v>
      </x:c>
      <x:c r="C16" s="9" t="str">
        <x:v>/images/premium/shop/wheels/ember/bizon-ember-depth-3q.png</x:v>
      </x:c>
      <x:c r="D16" s="9" t="str">
        <x:v>depth</x:v>
      </x:c>
      <x:c r="E16" s="9" t="str">
        <x:v>BIZON Ember, объём и глубина профиля</x:v>
      </x:c>
      <x:c r="F16" s="19" t="n">
        <x:v>30</x:v>
      </x:c>
      <x:c r="G16" s="9" t="str">
        <x:v>media</x:v>
      </x:c>
      <x:c r="H16" s="9" t="str">
        <x:v>gallery</x:v>
      </x:c>
      <x:c r="I16" s="9" t="str">
        <x:v>published</x:v>
      </x:c>
      <x:c r="J16" s="9" t="str">
        <x:v>repository</x:v>
      </x:c>
      <x:c r="K16" s="9" t="str">
        <x:v>SRC-REPO-WHEEL-MEDIA</x:v>
      </x:c>
    </x:row>
    <x:row r="17" ht="36" hidden="0" customHeight="1">
      <x:c r="A17" s="10" t="str">
        <x:v>MEDIA-EMBER-DETAIL</x:v>
      </x:c>
      <x:c r="B17" s="10" t="str">
        <x:v>BIZON-WHEEL-MODEL-EMBER</x:v>
      </x:c>
      <x:c r="C17" s="10" t="str">
        <x:v>/images/premium/shop/wheels/ember/bizon-ember-detail.png</x:v>
      </x:c>
      <x:c r="D17" s="10" t="str">
        <x:v>detail</x:v>
      </x:c>
      <x:c r="E17" s="10" t="str">
        <x:v>BIZON Ember, деталь поверхности</x:v>
      </x:c>
      <x:c r="F17" s="20" t="n">
        <x:v>40</x:v>
      </x:c>
      <x:c r="G17" s="10" t="str">
        <x:v>media</x:v>
      </x:c>
      <x:c r="H17" s="10" t="str">
        <x:v>gallery</x:v>
      </x:c>
      <x:c r="I17" s="10" t="str">
        <x:v>published</x:v>
      </x:c>
      <x:c r="J17" s="10" t="str">
        <x:v>repository</x:v>
      </x:c>
      <x:c r="K17" s="10" t="str">
        <x:v>SRC-REPO-WHEEL-MEDIA</x:v>
      </x:c>
    </x:row>
    <x:row r="18" ht="24" hidden="0" customHeight="1">
      <x:c r="A18" s="9" t="str">
        <x:v>MEDIA-BASTION-HERO</x:v>
      </x:c>
      <x:c r="B18" s="9" t="str">
        <x:v>BIZON-WHEEL-MODEL-BASTION</x:v>
      </x:c>
      <x:c r="C18" s="9" t="str">
        <x:v>/images/premium/shop/wheels/bastion/bizon-bastion-hero-3q.png</x:v>
      </x:c>
      <x:c r="D18" s="9" t="str">
        <x:v>hero</x:v>
      </x:c>
      <x:c r="E18" s="9" t="str">
        <x:v>BIZON Bastion, главный ракурс</x:v>
      </x:c>
      <x:c r="F18" s="19" t="n">
        <x:v>10</x:v>
      </x:c>
      <x:c r="G18" s="9" t="str">
        <x:v>media</x:v>
      </x:c>
      <x:c r="H18" s="9" t="str">
        <x:v>mainImage</x:v>
      </x:c>
      <x:c r="I18" s="9" t="str">
        <x:v>published</x:v>
      </x:c>
      <x:c r="J18" s="9" t="str">
        <x:v>repository</x:v>
      </x:c>
      <x:c r="K18" s="9" t="str">
        <x:v>SRC-REPO-WHEEL-MEDIA</x:v>
      </x:c>
    </x:row>
    <x:row r="19" ht="36" hidden="0" customHeight="1">
      <x:c r="A19" s="10" t="str">
        <x:v>MEDIA-BASTION-FRONT</x:v>
      </x:c>
      <x:c r="B19" s="10" t="str">
        <x:v>BIZON-WHEEL-MODEL-BASTION</x:v>
      </x:c>
      <x:c r="C19" s="10" t="str">
        <x:v>/images/premium/shop/wheels/bastion/bizon-bastion-front.png</x:v>
      </x:c>
      <x:c r="D19" s="10" t="str">
        <x:v>front</x:v>
      </x:c>
      <x:c r="E19" s="10" t="str">
        <x:v>BIZON Bastion, фронтальный вид</x:v>
      </x:c>
      <x:c r="F19" s="20" t="n">
        <x:v>20</x:v>
      </x:c>
      <x:c r="G19" s="10" t="str">
        <x:v>media</x:v>
      </x:c>
      <x:c r="H19" s="10" t="str">
        <x:v>gallery</x:v>
      </x:c>
      <x:c r="I19" s="10" t="str">
        <x:v>published</x:v>
      </x:c>
      <x:c r="J19" s="10" t="str">
        <x:v>repository</x:v>
      </x:c>
      <x:c r="K19" s="10" t="str">
        <x:v>SRC-REPO-WHEEL-MEDIA</x:v>
      </x:c>
    </x:row>
    <x:row r="20" ht="36" hidden="0" customHeight="1">
      <x:c r="A20" s="9" t="str">
        <x:v>MEDIA-BASTION-DEPTH</x:v>
      </x:c>
      <x:c r="B20" s="9" t="str">
        <x:v>BIZON-WHEEL-MODEL-BASTION</x:v>
      </x:c>
      <x:c r="C20" s="9" t="str">
        <x:v>/images/premium/shop/wheels/bastion/bizon-bastion-depth-3q.png</x:v>
      </x:c>
      <x:c r="D20" s="9" t="str">
        <x:v>depth</x:v>
      </x:c>
      <x:c r="E20" s="9" t="str">
        <x:v>BIZON Bastion, объём и глубина профиля</x:v>
      </x:c>
      <x:c r="F20" s="19" t="n">
        <x:v>30</x:v>
      </x:c>
      <x:c r="G20" s="9" t="str">
        <x:v>media</x:v>
      </x:c>
      <x:c r="H20" s="9" t="str">
        <x:v>gallery</x:v>
      </x:c>
      <x:c r="I20" s="9" t="str">
        <x:v>published</x:v>
      </x:c>
      <x:c r="J20" s="9" t="str">
        <x:v>repository</x:v>
      </x:c>
      <x:c r="K20" s="9" t="str">
        <x:v>SRC-REPO-WHEEL-MEDIA</x:v>
      </x:c>
    </x:row>
    <x:row r="21" ht="36" hidden="0" customHeight="1">
      <x:c r="A21" s="10" t="str">
        <x:v>MEDIA-BASTION-DETAIL</x:v>
      </x:c>
      <x:c r="B21" s="10" t="str">
        <x:v>BIZON-WHEEL-MODEL-BASTION</x:v>
      </x:c>
      <x:c r="C21" s="10" t="str">
        <x:v>/images/premium/shop/wheels/bastion/bizon-bastion-detail.png</x:v>
      </x:c>
      <x:c r="D21" s="10" t="str">
        <x:v>detail</x:v>
      </x:c>
      <x:c r="E21" s="10" t="str">
        <x:v>BIZON Bastion, деталь поверхности</x:v>
      </x:c>
      <x:c r="F21" s="20" t="n">
        <x:v>40</x:v>
      </x:c>
      <x:c r="G21" s="10" t="str">
        <x:v>media</x:v>
      </x:c>
      <x:c r="H21" s="10" t="str">
        <x:v>gallery</x:v>
      </x:c>
      <x:c r="I21" s="10" t="str">
        <x:v>published</x:v>
      </x:c>
      <x:c r="J21" s="10" t="str">
        <x:v>repository</x:v>
      </x:c>
      <x:c r="K21" s="10" t="str">
        <x:v>SRC-REPO-WHEEL-MEDIA</x:v>
      </x:c>
    </x:row>
  </x:sheetData>
  <x:conditionalFormatting sqref="I2:I21">
    <x:cfRule type="containsText" dxfId="144" priority="1" operator="containsText" text="published"/>
    <x:cfRule type="containsText" dxfId="145" priority="2" operator="containsText" text="ok"/>
    <x:cfRule type="containsText" dxfId="146" priority="3" operator="containsText" text="pass"/>
    <x:cfRule type="containsText" dxfId="147" priority="4" operator="containsText" text="compatible"/>
    <x:cfRule type="containsText" dxfId="148" priority="5" operator="containsText" text="review"/>
    <x:cfRule type="containsText" dxfId="149" priority="6" operator="containsText" text="conditional"/>
    <x:cfRule type="containsText" dxfId="150" priority="7" operator="containsText" text="error"/>
    <x:cfRule type="containsText" dxfId="151" priority="8" operator="containsText" text="fail"/>
    <x:cfRule type="containsText" dxfId="152" priority="9" operator="containsText" text="archived"/>
  </x:conditionalFormatting>
  <x:dataValidations count="1">
    <x:dataValidation type="list" sqref="I2:I21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7d1cfec7af41a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3" hidden="0" customWidth="1"/>
    <x:col min="4" max="4" width="30" hidden="0" customWidth="1"/>
    <x:col min="5" max="5" width="30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34" hidden="0" customWidth="1"/>
  </x:cols>
  <x:sheetData>
    <x:row r="1" ht="30" customHeight="1">
      <x:c r="A1" s="8" t="str">
        <x:v>source_id</x:v>
      </x:c>
      <x:c r="B1" s="8" t="str">
        <x:v>source_type</x:v>
      </x:c>
      <x:c r="C1" s="8" t="str">
        <x:v>source_name</x:v>
      </x:c>
      <x:c r="D1" s="8" t="str">
        <x:v>source_location</x:v>
      </x:c>
      <x:c r="E1" s="8" t="str">
        <x:v>source_url_or_path</x:v>
      </x:c>
      <x:c r="F1" s="8" t="str">
        <x:v>applies_to</x:v>
      </x:c>
      <x:c r="G1" s="8" t="str">
        <x:v>owner</x:v>
      </x:c>
      <x:c r="H1" s="8" t="str">
        <x:v>verification_date</x:v>
      </x:c>
      <x:c r="I1" s="8" t="str">
        <x:v>verification_status</x:v>
      </x:c>
      <x:c r="J1" s="8" t="str">
        <x:v>notes</x:v>
      </x:c>
    </x:row>
    <x:row r="2" ht="36" hidden="0" customHeight="1">
      <x:c r="A2" s="9" t="str">
        <x:v>SRC-INTERNAL-DEMO-20260726</x:v>
      </x:c>
      <x:c r="B2" s="9" t="str">
        <x:v>internal_demo</x:v>
      </x:c>
      <x:c r="C2" s="9" t="str">
        <x:v>BIZON forged wheels architecture demo</x:v>
      </x:c>
      <x:c r="D2" s="9" t="str">
        <x:v>Approved Codex task, 2026-07-26</x:v>
      </x:c>
      <x:c r="E2" s="9"/>
      <x:c r="F2" s="9" t="str">
        <x:v>technical_data|fitment|commercial_data</x:v>
      </x:c>
      <x:c r="G2" s="9" t="str">
        <x:v>BIZON</x:v>
      </x:c>
      <x:c r="H2" s="21" t="n">
        <x:v>46229</x:v>
      </x:c>
      <x:c r="I2" s="9" t="str">
        <x:v>owner_approved_for_publication</x:v>
      </x:c>
      <x:c r="J2" s="9" t="str">
        <x:v>Примерные значения разрешены владельцем к публикации и будут заменены на дальнейших стадиях.</x:v>
      </x:c>
    </x:row>
    <x:row r="3" ht="48" hidden="0" customHeight="1">
      <x:c r="A3" s="10" t="str">
        <x:v>SRC-SHOP-WHEEL-DESIGNS</x:v>
      </x:c>
      <x:c r="B3" s="10" t="str">
        <x:v>repository</x:v>
      </x:c>
      <x:c r="C3" s="10" t="str">
        <x:v>SHOP_WHEEL_DESIGNS</x:v>
      </x:c>
      <x:c r="D3" s="10" t="str">
        <x:v>src/constants/shopWheels.ts</x:v>
      </x:c>
      <x:c r="E3" s="10" t="str">
        <x:v>src/constants/shopWheels.ts</x:v>
      </x:c>
      <x:c r="F3" s="10" t="str">
        <x:v>model_names|positioning|descriptions|default_finishes</x:v>
      </x:c>
      <x:c r="G3" s="10" t="str">
        <x:v>BIZON</x:v>
      </x:c>
      <x:c r="H3" s="22" t="n">
        <x:v>46229</x:v>
      </x:c>
      <x:c r="I3" s="10" t="str">
        <x:v>repository_verified</x:v>
      </x:c>
      <x:c r="J3" s="10" t="str">
        <x:v>Пять готовых дизайнов: Atlas, Vector, Nomad, Ember, Bastion.</x:v>
      </x:c>
    </x:row>
    <x:row r="4" ht="24" hidden="0" customHeight="1">
      <x:c r="A4" s="9" t="str">
        <x:v>SRC-REPO-WHEEL-MEDIA</x:v>
      </x:c>
      <x:c r="B4" s="9" t="str">
        <x:v>repository</x:v>
      </x:c>
      <x:c r="C4" s="9" t="str">
        <x:v>BIZON forged wheel media</x:v>
      </x:c>
      <x:c r="D4" s="9" t="str">
        <x:v>public/images/premium/shop/wheels</x:v>
      </x:c>
      <x:c r="E4" s="9" t="str">
        <x:v>public/images/premium/shop/wheels</x:v>
      </x:c>
      <x:c r="F4" s="9" t="str">
        <x:v>media_mapping</x:v>
      </x:c>
      <x:c r="G4" s="9" t="str">
        <x:v>BIZON</x:v>
      </x:c>
      <x:c r="H4" s="21" t="n">
        <x:v>46229</x:v>
      </x:c>
      <x:c r="I4" s="9" t="str">
        <x:v>repository_verified</x:v>
      </x:c>
      <x:c r="J4" s="9" t="str">
        <x:v>Для каждой модели доступны hero, front, depth-3q и detail.</x:v>
      </x:c>
    </x:row>
  </x:sheetData>
  <x:conditionalFormatting sqref="I2:I4">
    <x:cfRule type="containsText" dxfId="153" priority="1" operator="containsText" text="published"/>
    <x:cfRule type="containsText" dxfId="154" priority="2" operator="containsText" text="ok"/>
    <x:cfRule type="containsText" dxfId="155" priority="3" operator="containsText" text="pass"/>
    <x:cfRule type="containsText" dxfId="156" priority="4" operator="containsText" text="compatible"/>
    <x:cfRule type="containsText" dxfId="157" priority="5" operator="containsText" text="review"/>
    <x:cfRule type="containsText" dxfId="158" priority="6" operator="containsText" text="conditional"/>
    <x:cfRule type="containsText" dxfId="159" priority="7" operator="containsText" text="error"/>
    <x:cfRule type="containsText" dxfId="160" priority="8" operator="containsText" text="fail"/>
    <x:cfRule type="containsText" dxfId="161" priority="9" operator="containsText" text="archived"/>
  </x:conditionalFormatting>
  <x:dataValidations count="1">
    <x:dataValidation type="list" sqref="B2:B4">
      <x:formula1>"internal_demo,repository"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03d954e043443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12" hidden="0" customWidth="1"/>
    <x:col min="9" max="9" width="20" hidden="0" customWidth="1"/>
    <x:col min="10" max="10" width="34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 ht="30" customHeight="1">
      <x:c r="A1" s="8" t="str">
        <x:v>mapping_id</x:v>
      </x:c>
      <x:c r="B1" s="8" t="str">
        <x:v>source_sheet</x:v>
      </x:c>
      <x:c r="C1" s="8" t="str">
        <x:v>source_field</x:v>
      </x:c>
      <x:c r="D1" s="8" t="str">
        <x:v>entity_scope</x:v>
      </x:c>
      <x:c r="E1" s="8" t="str">
        <x:v>payload_collection</x:v>
      </x:c>
      <x:c r="F1" s="8" t="str">
        <x:v>payload_field_path</x:v>
      </x:c>
      <x:c r="G1" s="8" t="str">
        <x:v>payload_data_type</x:v>
      </x:c>
      <x:c r="H1" s="8" t="str">
        <x:v>required</x:v>
      </x:c>
      <x:c r="I1" s="8" t="str">
        <x:v>migration_strategy</x:v>
      </x:c>
      <x:c r="J1" s="8" t="str">
        <x:v>transform_rule</x:v>
      </x:c>
      <x:c r="K1" s="8" t="str">
        <x:v>lifecycle_status</x:v>
      </x:c>
      <x:c r="L1" s="8" t="str">
        <x:v>source_type</x:v>
      </x:c>
      <x:c r="M1" s="8" t="str">
        <x:v>source_id</x:v>
      </x:c>
    </x:row>
    <x:row r="2" ht="24" hidden="0" customHeight="1">
      <x:c r="A2" s="9" t="str">
        <x:v>MAP-001</x:v>
      </x:c>
      <x:c r="B2" s="9" t="str">
        <x:v>01_WHEEL_MODELS</x:v>
      </x:c>
      <x:c r="C2" s="9" t="str">
        <x:v>model_id</x:v>
      </x:c>
      <x:c r="D2" s="9" t="str">
        <x:v>model</x:v>
      </x:c>
      <x:c r="E2" s="9" t="str">
        <x:v>wheel-models</x:v>
      </x:c>
      <x:c r="F2" s="9" t="str">
        <x:v>externalId</x:v>
      </x:c>
      <x:c r="G2" s="9" t="str">
        <x:v>string</x:v>
      </x:c>
      <x:c r="H2" s="16" t="b">
        <x:v>1</x:v>
      </x:c>
      <x:c r="I2" s="9" t="str">
        <x:v>protected_core</x:v>
      </x:c>
      <x:c r="J2" s="9" t="str">
        <x:v>Normalize key, preserve stable ID, map canonical unit.</x:v>
      </x:c>
      <x:c r="K2" s="9" t="str">
        <x:v>published</x:v>
      </x:c>
      <x:c r="L2" s="9" t="str">
        <x:v>internal_demo</x:v>
      </x:c>
      <x:c r="M2" s="9" t="str">
        <x:v>SRC-INTERNAL-DEMO-20260726</x:v>
      </x:c>
    </x:row>
    <x:row r="3" ht="24" hidden="0" customHeight="1">
      <x:c r="A3" s="10" t="str">
        <x:v>MAP-002</x:v>
      </x:c>
      <x:c r="B3" s="10" t="str">
        <x:v>01_WHEEL_MODELS</x:v>
      </x:c>
      <x:c r="C3" s="10" t="str">
        <x:v>slug</x:v>
      </x:c>
      <x:c r="D3" s="10" t="str">
        <x:v>model</x:v>
      </x:c>
      <x:c r="E3" s="10" t="str">
        <x:v>wheel-models</x:v>
      </x:c>
      <x:c r="F3" s="10" t="str">
        <x:v>slug</x:v>
      </x:c>
      <x:c r="G3" s="10" t="str">
        <x:v>string</x:v>
      </x:c>
      <x:c r="H3" s="17" t="b">
        <x:v>1</x:v>
      </x:c>
      <x:c r="I3" s="10" t="str">
        <x:v>protected_core</x:v>
      </x:c>
      <x:c r="J3" s="10" t="str">
        <x:v>Normalize key, preserve stable ID, map canonical unit.</x:v>
      </x:c>
      <x:c r="K3" s="10" t="str">
        <x:v>published</x:v>
      </x:c>
      <x:c r="L3" s="10" t="str">
        <x:v>internal_demo</x:v>
      </x:c>
      <x:c r="M3" s="10" t="str">
        <x:v>SRC-INTERNAL-DEMO-20260726</x:v>
      </x:c>
    </x:row>
    <x:row r="4" ht="24" hidden="0" customHeight="1">
      <x:c r="A4" s="9" t="str">
        <x:v>MAP-003</x:v>
      </x:c>
      <x:c r="B4" s="9" t="str">
        <x:v>01_WHEEL_MODELS</x:v>
      </x:c>
      <x:c r="C4" s="9" t="str">
        <x:v>public_name_ru</x:v>
      </x:c>
      <x:c r="D4" s="9" t="str">
        <x:v>model</x:v>
      </x:c>
      <x:c r="E4" s="9" t="str">
        <x:v>wheel-models</x:v>
      </x:c>
      <x:c r="F4" s="9" t="str">
        <x:v>name</x:v>
      </x:c>
      <x:c r="G4" s="9" t="str">
        <x:v>string</x:v>
      </x:c>
      <x:c r="H4" s="16" t="b">
        <x:v>1</x:v>
      </x:c>
      <x:c r="I4" s="9" t="str">
        <x:v>protected_core</x:v>
      </x:c>
      <x:c r="J4" s="9" t="str">
        <x:v>Normalize key, preserve stable ID, map canonical unit.</x:v>
      </x:c>
      <x:c r="K4" s="9" t="str">
        <x:v>published</x:v>
      </x:c>
      <x:c r="L4" s="9" t="str">
        <x:v>internal_demo</x:v>
      </x:c>
      <x:c r="M4" s="9" t="str">
        <x:v>SRC-INTERNAL-DEMO-20260726</x:v>
      </x:c>
    </x:row>
    <x:row r="5" ht="24" hidden="0" customHeight="1">
      <x:c r="A5" s="10" t="str">
        <x:v>MAP-004</x:v>
      </x:c>
      <x:c r="B5" s="10" t="str">
        <x:v>01_WHEEL_MODELS</x:v>
      </x:c>
      <x:c r="C5" s="10" t="str">
        <x:v>positioning_key</x:v>
      </x:c>
      <x:c r="D5" s="10" t="str">
        <x:v>model</x:v>
      </x:c>
      <x:c r="E5" s="10" t="str">
        <x:v>wheel-models</x:v>
      </x:c>
      <x:c r="F5" s="10" t="str">
        <x:v>designStyle</x:v>
      </x:c>
      <x:c r="G5" s="10" t="str">
        <x:v>string</x:v>
      </x:c>
      <x:c r="H5" s="17" t="b">
        <x:v>0</x:v>
      </x:c>
      <x:c r="I5" s="10" t="str">
        <x:v>core</x:v>
      </x:c>
      <x:c r="J5" s="10" t="str">
        <x:v>Normalize key, preserve stable ID, map canonical unit.</x:v>
      </x:c>
      <x:c r="K5" s="10" t="str">
        <x:v>published</x:v>
      </x:c>
      <x:c r="L5" s="10" t="str">
        <x:v>internal_demo</x:v>
      </x:c>
      <x:c r="M5" s="10" t="str">
        <x:v>SRC-INTERNAL-DEMO-20260726</x:v>
      </x:c>
    </x:row>
    <x:row r="6" ht="24" hidden="0" customHeight="1">
      <x:c r="A6" s="9" t="str">
        <x:v>MAP-005</x:v>
      </x:c>
      <x:c r="B6" s="9" t="str">
        <x:v>01_WHEEL_MODELS</x:v>
      </x:c>
      <x:c r="C6" s="9" t="str">
        <x:v>short_description_ru</x:v>
      </x:c>
      <x:c r="D6" s="9" t="str">
        <x:v>model</x:v>
      </x:c>
      <x:c r="E6" s="9" t="str">
        <x:v>wheel-models</x:v>
      </x:c>
      <x:c r="F6" s="9" t="str">
        <x:v>shortDescription</x:v>
      </x:c>
      <x:c r="G6" s="9" t="str">
        <x:v>string</x:v>
      </x:c>
      <x:c r="H6" s="16" t="b">
        <x:v>1</x:v>
      </x:c>
      <x:c r="I6" s="9" t="str">
        <x:v>core</x:v>
      </x:c>
      <x:c r="J6" s="9" t="str">
        <x:v>Normalize key, preserve stable ID, map canonical unit.</x:v>
      </x:c>
      <x:c r="K6" s="9" t="str">
        <x:v>published</x:v>
      </x:c>
      <x:c r="L6" s="9" t="str">
        <x:v>internal_demo</x:v>
      </x:c>
      <x:c r="M6" s="9" t="str">
        <x:v>SRC-INTERNAL-DEMO-20260726</x:v>
      </x:c>
    </x:row>
    <x:row r="7" ht="24" hidden="0" customHeight="1">
      <x:c r="A7" s="10" t="str">
        <x:v>MAP-006</x:v>
      </x:c>
      <x:c r="B7" s="10" t="str">
        <x:v>01_WHEEL_MODELS</x:v>
      </x:c>
      <x:c r="C7" s="10" t="str">
        <x:v>full_description_ru</x:v>
      </x:c>
      <x:c r="D7" s="10" t="str">
        <x:v>model</x:v>
      </x:c>
      <x:c r="E7" s="10" t="str">
        <x:v>wheel-models</x:v>
      </x:c>
      <x:c r="F7" s="10" t="str">
        <x:v>fullDescription</x:v>
      </x:c>
      <x:c r="G7" s="10" t="str">
        <x:v>richText</x:v>
      </x:c>
      <x:c r="H7" s="17" t="b">
        <x:v>0</x:v>
      </x:c>
      <x:c r="I7" s="10" t="str">
        <x:v>core</x:v>
      </x:c>
      <x:c r="J7" s="10" t="str">
        <x:v>Normalize key, preserve stable ID, map canonical unit.</x:v>
      </x:c>
      <x:c r="K7" s="10" t="str">
        <x:v>published</x:v>
      </x:c>
      <x:c r="L7" s="10" t="str">
        <x:v>internal_demo</x:v>
      </x:c>
      <x:c r="M7" s="10" t="str">
        <x:v>SRC-INTERNAL-DEMO-20260726</x:v>
      </x:c>
    </x:row>
    <x:row r="8" ht="24" hidden="0" customHeight="1">
      <x:c r="A8" s="9" t="str">
        <x:v>MAP-007</x:v>
      </x:c>
      <x:c r="B8" s="9" t="str">
        <x:v>01_WHEEL_MODELS</x:v>
      </x:c>
      <x:c r="C8" s="9" t="str">
        <x:v>hero_media_id</x:v>
      </x:c>
      <x:c r="D8" s="9" t="str">
        <x:v>model</x:v>
      </x:c>
      <x:c r="E8" s="9" t="str">
        <x:v>wheel-models</x:v>
      </x:c>
      <x:c r="F8" s="9" t="str">
        <x:v>mainImage</x:v>
      </x:c>
      <x:c r="G8" s="9" t="str">
        <x:v>relationship</x:v>
      </x:c>
      <x:c r="H8" s="16" t="b">
        <x:v>0</x:v>
      </x:c>
      <x:c r="I8" s="9" t="str">
        <x:v>media_relation</x:v>
      </x:c>
      <x:c r="J8" s="9" t="str">
        <x:v>Normalize key, preserve stable ID, map canonical unit.</x:v>
      </x:c>
      <x:c r="K8" s="9" t="str">
        <x:v>published</x:v>
      </x:c>
      <x:c r="L8" s="9" t="str">
        <x:v>internal_demo</x:v>
      </x:c>
      <x:c r="M8" s="9" t="str">
        <x:v>SRC-INTERNAL-DEMO-20260726</x:v>
      </x:c>
    </x:row>
    <x:row r="9" ht="24" hidden="0" customHeight="1">
      <x:c r="A9" s="10" t="str">
        <x:v>MAP-008</x:v>
      </x:c>
      <x:c r="B9" s="10" t="str">
        <x:v>02_WHEEL_VARIANTS</x:v>
      </x:c>
      <x:c r="C9" s="10" t="str">
        <x:v>variant_id</x:v>
      </x:c>
      <x:c r="D9" s="10" t="str">
        <x:v>variant</x:v>
      </x:c>
      <x:c r="E9" s="10" t="str">
        <x:v>wheel-variants</x:v>
      </x:c>
      <x:c r="F9" s="10" t="str">
        <x:v>externalId</x:v>
      </x:c>
      <x:c r="G9" s="10" t="str">
        <x:v>string</x:v>
      </x:c>
      <x:c r="H9" s="17" t="b">
        <x:v>1</x:v>
      </x:c>
      <x:c r="I9" s="10" t="str">
        <x:v>protected_core</x:v>
      </x:c>
      <x:c r="J9" s="10" t="str">
        <x:v>Normalize key, preserve stable ID, map canonical unit.</x:v>
      </x:c>
      <x:c r="K9" s="10" t="str">
        <x:v>published</x:v>
      </x:c>
      <x:c r="L9" s="10" t="str">
        <x:v>internal_demo</x:v>
      </x:c>
      <x:c r="M9" s="10" t="str">
        <x:v>SRC-INTERNAL-DEMO-20260726</x:v>
      </x:c>
    </x:row>
    <x:row r="10" ht="24" hidden="0" customHeight="1">
      <x:c r="A10" s="9" t="str">
        <x:v>MAP-009</x:v>
      </x:c>
      <x:c r="B10" s="9" t="str">
        <x:v>02_WHEEL_VARIANTS</x:v>
      </x:c>
      <x:c r="C10" s="9" t="str">
        <x:v>model_id</x:v>
      </x:c>
      <x:c r="D10" s="9" t="str">
        <x:v>variant</x:v>
      </x:c>
      <x:c r="E10" s="9" t="str">
        <x:v>wheel-variants</x:v>
      </x:c>
      <x:c r="F10" s="9" t="str">
        <x:v>wheelModel</x:v>
      </x:c>
      <x:c r="G10" s="9" t="str">
        <x:v>relationship</x:v>
      </x:c>
      <x:c r="H10" s="16" t="b">
        <x:v>1</x:v>
      </x:c>
      <x:c r="I10" s="9" t="str">
        <x:v>protected_core</x:v>
      </x:c>
      <x:c r="J10" s="9" t="str">
        <x:v>Normalize key, preserve stable ID, map canonical unit.</x:v>
      </x:c>
      <x:c r="K10" s="9" t="str">
        <x:v>published</x:v>
      </x:c>
      <x:c r="L10" s="9" t="str">
        <x:v>internal_demo</x:v>
      </x:c>
      <x:c r="M10" s="9" t="str">
        <x:v>SRC-INTERNAL-DEMO-20260726</x:v>
      </x:c>
    </x:row>
    <x:row r="11" ht="24" hidden="0" customHeight="1">
      <x:c r="A11" s="10" t="str">
        <x:v>MAP-010</x:v>
      </x:c>
      <x:c r="B11" s="10" t="str">
        <x:v>02_WHEEL_VARIANTS</x:v>
      </x:c>
      <x:c r="C11" s="10" t="str">
        <x:v>sku</x:v>
      </x:c>
      <x:c r="D11" s="10" t="str">
        <x:v>variant</x:v>
      </x:c>
      <x:c r="E11" s="10" t="str">
        <x:v>wheel-variants</x:v>
      </x:c>
      <x:c r="F11" s="10" t="str">
        <x:v>sku</x:v>
      </x:c>
      <x:c r="G11" s="10" t="str">
        <x:v>string</x:v>
      </x:c>
      <x:c r="H11" s="17" t="b">
        <x:v>1</x:v>
      </x:c>
      <x:c r="I11" s="10" t="str">
        <x:v>protected_core</x:v>
      </x:c>
      <x:c r="J11" s="10" t="str">
        <x:v>Normalize key, preserve stable ID, map canonical unit.</x:v>
      </x:c>
      <x:c r="K11" s="10" t="str">
        <x:v>published</x:v>
      </x:c>
      <x:c r="L11" s="10" t="str">
        <x:v>internal_demo</x:v>
      </x:c>
      <x:c r="M11" s="10" t="str">
        <x:v>SRC-INTERNAL-DEMO-20260726</x:v>
      </x:c>
    </x:row>
    <x:row r="12" ht="24" hidden="0" customHeight="1">
      <x:c r="A12" s="9" t="str">
        <x:v>MAP-011</x:v>
      </x:c>
      <x:c r="B12" s="9" t="str">
        <x:v>02_WHEEL_VARIANTS</x:v>
      </x:c>
      <x:c r="C12" s="9" t="str">
        <x:v>diameter_in</x:v>
      </x:c>
      <x:c r="D12" s="9" t="str">
        <x:v>variant</x:v>
      </x:c>
      <x:c r="E12" s="9" t="str">
        <x:v>wheel-variants</x:v>
      </x:c>
      <x:c r="F12" s="9" t="str">
        <x:v>diameter</x:v>
      </x:c>
      <x:c r="G12" s="9" t="str">
        <x:v>number</x:v>
      </x:c>
      <x:c r="H12" s="16" t="b">
        <x:v>1</x:v>
      </x:c>
      <x:c r="I12" s="9" t="str">
        <x:v>protected_core</x:v>
      </x:c>
      <x:c r="J12" s="9" t="str">
        <x:v>Normalize key, preserve stable ID, map canonical unit.</x:v>
      </x:c>
      <x:c r="K12" s="9" t="str">
        <x:v>published</x:v>
      </x:c>
      <x:c r="L12" s="9" t="str">
        <x:v>internal_demo</x:v>
      </x:c>
      <x:c r="M12" s="9" t="str">
        <x:v>SRC-INTERNAL-DEMO-20260726</x:v>
      </x:c>
    </x:row>
    <x:row r="13" ht="24" hidden="0" customHeight="1">
      <x:c r="A13" s="10" t="str">
        <x:v>MAP-012</x:v>
      </x:c>
      <x:c r="B13" s="10" t="str">
        <x:v>02_WHEEL_VARIANTS</x:v>
      </x:c>
      <x:c r="C13" s="10" t="str">
        <x:v>width_in</x:v>
      </x:c>
      <x:c r="D13" s="10" t="str">
        <x:v>variant</x:v>
      </x:c>
      <x:c r="E13" s="10" t="str">
        <x:v>wheel-variants</x:v>
      </x:c>
      <x:c r="F13" s="10" t="str">
        <x:v>width</x:v>
      </x:c>
      <x:c r="G13" s="10" t="str">
        <x:v>number</x:v>
      </x:c>
      <x:c r="H13" s="17" t="b">
        <x:v>1</x:v>
      </x:c>
      <x:c r="I13" s="10" t="str">
        <x:v>protected_core</x:v>
      </x:c>
      <x:c r="J13" s="10" t="str">
        <x:v>Normalize key, preserve stable ID, map canonical unit.</x:v>
      </x:c>
      <x:c r="K13" s="10" t="str">
        <x:v>published</x:v>
      </x:c>
      <x:c r="L13" s="10" t="str">
        <x:v>internal_demo</x:v>
      </x:c>
      <x:c r="M13" s="10" t="str">
        <x:v>SRC-INTERNAL-DEMO-20260726</x:v>
      </x:c>
    </x:row>
    <x:row r="14" ht="24" hidden="0" customHeight="1">
      <x:c r="A14" s="9" t="str">
        <x:v>MAP-013</x:v>
      </x:c>
      <x:c r="B14" s="9" t="str">
        <x:v>02_WHEEL_VARIANTS</x:v>
      </x:c>
      <x:c r="C14" s="9" t="str">
        <x:v>offset_et_mm</x:v>
      </x:c>
      <x:c r="D14" s="9" t="str">
        <x:v>variant</x:v>
      </x:c>
      <x:c r="E14" s="9" t="str">
        <x:v>wheel-variants</x:v>
      </x:c>
      <x:c r="F14" s="9" t="str">
        <x:v>offsetET</x:v>
      </x:c>
      <x:c r="G14" s="9" t="str">
        <x:v>number</x:v>
      </x:c>
      <x:c r="H14" s="16" t="b">
        <x:v>1</x:v>
      </x:c>
      <x:c r="I14" s="9" t="str">
        <x:v>protected_core</x:v>
      </x:c>
      <x:c r="J14" s="9" t="str">
        <x:v>Normalize key, preserve stable ID, map canonical unit.</x:v>
      </x:c>
      <x:c r="K14" s="9" t="str">
        <x:v>published</x:v>
      </x:c>
      <x:c r="L14" s="9" t="str">
        <x:v>internal_demo</x:v>
      </x:c>
      <x:c r="M14" s="9" t="str">
        <x:v>SRC-INTERNAL-DEMO-20260726</x:v>
      </x:c>
    </x:row>
    <x:row r="15" ht="24" hidden="0" customHeight="1">
      <x:c r="A15" s="10" t="str">
        <x:v>MAP-014</x:v>
      </x:c>
      <x:c r="B15" s="10" t="str">
        <x:v>02_WHEEL_VARIANTS</x:v>
      </x:c>
      <x:c r="C15" s="10" t="str">
        <x:v>bolt_patterns</x:v>
      </x:c>
      <x:c r="D15" s="10" t="str">
        <x:v>variant</x:v>
      </x:c>
      <x:c r="E15" s="10" t="str">
        <x:v>wheel-variants</x:v>
      </x:c>
      <x:c r="F15" s="10" t="str">
        <x:v>boltPatterns</x:v>
      </x:c>
      <x:c r="G15" s="10" t="str">
        <x:v>array</x:v>
      </x:c>
      <x:c r="H15" s="17" t="b">
        <x:v>1</x:v>
      </x:c>
      <x:c r="I15" s="10" t="str">
        <x:v>protected_core</x:v>
      </x:c>
      <x:c r="J15" s="10" t="str">
        <x:v>Normalize key, preserve stable ID, map canonical unit.</x:v>
      </x:c>
      <x:c r="K15" s="10" t="str">
        <x:v>published</x:v>
      </x:c>
      <x:c r="L15" s="10" t="str">
        <x:v>internal_demo</x:v>
      </x:c>
      <x:c r="M15" s="10" t="str">
        <x:v>SRC-INTERNAL-DEMO-20260726</x:v>
      </x:c>
    </x:row>
    <x:row r="16" ht="24" hidden="0" customHeight="1">
      <x:c r="A16" s="9" t="str">
        <x:v>MAP-015</x:v>
      </x:c>
      <x:c r="B16" s="9" t="str">
        <x:v>02_WHEEL_VARIANTS</x:v>
      </x:c>
      <x:c r="C16" s="9" t="str">
        <x:v>center_bore_mm</x:v>
      </x:c>
      <x:c r="D16" s="9" t="str">
        <x:v>variant</x:v>
      </x:c>
      <x:c r="E16" s="9" t="str">
        <x:v>wheel-variants</x:v>
      </x:c>
      <x:c r="F16" s="9" t="str">
        <x:v>centerBore</x:v>
      </x:c>
      <x:c r="G16" s="9" t="str">
        <x:v>number</x:v>
      </x:c>
      <x:c r="H16" s="16" t="b">
        <x:v>1</x:v>
      </x:c>
      <x:c r="I16" s="9" t="str">
        <x:v>protected_core</x:v>
      </x:c>
      <x:c r="J16" s="9" t="str">
        <x:v>Normalize key, preserve stable ID, map canonical unit.</x:v>
      </x:c>
      <x:c r="K16" s="9" t="str">
        <x:v>published</x:v>
      </x:c>
      <x:c r="L16" s="9" t="str">
        <x:v>internal_demo</x:v>
      </x:c>
      <x:c r="M16" s="9" t="str">
        <x:v>SRC-INTERNAL-DEMO-20260726</x:v>
      </x:c>
    </x:row>
    <x:row r="17" ht="24" hidden="0" customHeight="1">
      <x:c r="A17" s="10" t="str">
        <x:v>MAP-016</x:v>
      </x:c>
      <x:c r="B17" s="10" t="str">
        <x:v>02_WHEEL_VARIANTS</x:v>
      </x:c>
      <x:c r="C17" s="10" t="str">
        <x:v>max_load_kg</x:v>
      </x:c>
      <x:c r="D17" s="10" t="str">
        <x:v>variant</x:v>
      </x:c>
      <x:c r="E17" s="10" t="str">
        <x:v>wheel-variants</x:v>
      </x:c>
      <x:c r="F17" s="10" t="str">
        <x:v>maxLoadKg</x:v>
      </x:c>
      <x:c r="G17" s="10" t="str">
        <x:v>number</x:v>
      </x:c>
      <x:c r="H17" s="17" t="b">
        <x:v>1</x:v>
      </x:c>
      <x:c r="I17" s="10" t="str">
        <x:v>protected_core</x:v>
      </x:c>
      <x:c r="J17" s="10" t="str">
        <x:v>Normalize key, preserve stable ID, map canonical unit.</x:v>
      </x:c>
      <x:c r="K17" s="10" t="str">
        <x:v>published</x:v>
      </x:c>
      <x:c r="L17" s="10" t="str">
        <x:v>internal_demo</x:v>
      </x:c>
      <x:c r="M17" s="10" t="str">
        <x:v>SRC-INTERNAL-DEMO-20260726</x:v>
      </x:c>
    </x:row>
    <x:row r="18" ht="24" hidden="0" customHeight="1">
      <x:c r="A18" s="9" t="str">
        <x:v>MAP-017</x:v>
      </x:c>
      <x:c r="B18" s="9" t="str">
        <x:v>02_WHEEL_VARIANTS</x:v>
      </x:c>
      <x:c r="C18" s="9" t="str">
        <x:v>construction_type</x:v>
      </x:c>
      <x:c r="D18" s="9" t="str">
        <x:v>variant</x:v>
      </x:c>
      <x:c r="E18" s="9" t="str">
        <x:v>wheel-variants</x:v>
      </x:c>
      <x:c r="F18" s="9" t="str">
        <x:v>constructionType</x:v>
      </x:c>
      <x:c r="G18" s="9" t="str">
        <x:v>select</x:v>
      </x:c>
      <x:c r="H18" s="16" t="b">
        <x:v>1</x:v>
      </x:c>
      <x:c r="I18" s="9" t="str">
        <x:v>protected_core</x:v>
      </x:c>
      <x:c r="J18" s="9" t="str">
        <x:v>Normalize key, preserve stable ID, map canonical unit.</x:v>
      </x:c>
      <x:c r="K18" s="9" t="str">
        <x:v>published</x:v>
      </x:c>
      <x:c r="L18" s="9" t="str">
        <x:v>internal_demo</x:v>
      </x:c>
      <x:c r="M18" s="9" t="str">
        <x:v>SRC-INTERNAL-DEMO-20260726</x:v>
      </x:c>
    </x:row>
    <x:row r="19" ht="24" hidden="0" customHeight="1">
      <x:c r="A19" s="10" t="str">
        <x:v>MAP-018</x:v>
      </x:c>
      <x:c r="B19" s="10" t="str">
        <x:v>02_WHEEL_VARIANTS</x:v>
      </x:c>
      <x:c r="C19" s="10" t="str">
        <x:v>sale_mode</x:v>
      </x:c>
      <x:c r="D19" s="10" t="str">
        <x:v>variant</x:v>
      </x:c>
      <x:c r="E19" s="10" t="str">
        <x:v>wheel-variants</x:v>
      </x:c>
      <x:c r="F19" s="10" t="str">
        <x:v>saleMode</x:v>
      </x:c>
      <x:c r="G19" s="10" t="str">
        <x:v>select</x:v>
      </x:c>
      <x:c r="H19" s="17" t="b">
        <x:v>1</x:v>
      </x:c>
      <x:c r="I19" s="10" t="str">
        <x:v>commercial</x:v>
      </x:c>
      <x:c r="J19" s="10" t="str">
        <x:v>Normalize key, preserve stable ID, map canonical unit.</x:v>
      </x:c>
      <x:c r="K19" s="10" t="str">
        <x:v>published</x:v>
      </x:c>
      <x:c r="L19" s="10" t="str">
        <x:v>internal_demo</x:v>
      </x:c>
      <x:c r="M19" s="10" t="str">
        <x:v>SRC-INTERNAL-DEMO-20260726</x:v>
      </x:c>
    </x:row>
    <x:row r="20" ht="24" hidden="0" customHeight="1">
      <x:c r="A20" s="9" t="str">
        <x:v>MAP-019</x:v>
      </x:c>
      <x:c r="B20" s="9" t="str">
        <x:v>02_WHEEL_VARIANTS</x:v>
      </x:c>
      <x:c r="C20" s="9" t="str">
        <x:v>availability</x:v>
      </x:c>
      <x:c r="D20" s="9" t="str">
        <x:v>variant</x:v>
      </x:c>
      <x:c r="E20" s="9" t="str">
        <x:v>wheel-variants</x:v>
      </x:c>
      <x:c r="F20" s="9" t="str">
        <x:v>available</x:v>
      </x:c>
      <x:c r="G20" s="9" t="str">
        <x:v>boolean</x:v>
      </x:c>
      <x:c r="H20" s="16" t="b">
        <x:v>1</x:v>
      </x:c>
      <x:c r="I20" s="9" t="str">
        <x:v>commercial</x:v>
      </x:c>
      <x:c r="J20" s="9" t="str">
        <x:v>Normalize key, preserve stable ID, map canonical unit.</x:v>
      </x:c>
      <x:c r="K20" s="9" t="str">
        <x:v>published</x:v>
      </x:c>
      <x:c r="L20" s="9" t="str">
        <x:v>internal_demo</x:v>
      </x:c>
      <x:c r="M20" s="9" t="str">
        <x:v>SRC-INTERNAL-DEMO-20260726</x:v>
      </x:c>
    </x:row>
    <x:row r="21" ht="24" hidden="0" customHeight="1">
      <x:c r="A21" s="10" t="str">
        <x:v>MAP-020</x:v>
      </x:c>
      <x:c r="B21" s="10" t="str">
        <x:v>02_WHEEL_VARIANTS</x:v>
      </x:c>
      <x:c r="C21" s="10" t="str">
        <x:v>price_rub</x:v>
      </x:c>
      <x:c r="D21" s="10" t="str">
        <x:v>variant</x:v>
      </x:c>
      <x:c r="E21" s="10" t="str">
        <x:v>wheel-variants</x:v>
      </x:c>
      <x:c r="F21" s="10" t="str">
        <x:v>price</x:v>
      </x:c>
      <x:c r="G21" s="10" t="str">
        <x:v>number</x:v>
      </x:c>
      <x:c r="H21" s="17" t="b">
        <x:v>0</x:v>
      </x:c>
      <x:c r="I21" s="10" t="str">
        <x:v>commercial</x:v>
      </x:c>
      <x:c r="J21" s="10" t="str">
        <x:v>Normalize key, preserve stable ID, map canonical unit.</x:v>
      </x:c>
      <x:c r="K21" s="10" t="str">
        <x:v>published</x:v>
      </x:c>
      <x:c r="L21" s="10" t="str">
        <x:v>internal_demo</x:v>
      </x:c>
      <x:c r="M21" s="10" t="str">
        <x:v>SRC-INTERNAL-DEMO-20260726</x:v>
      </x:c>
    </x:row>
    <x:row r="22" ht="24" hidden="0" customHeight="1">
      <x:c r="A22" s="9" t="str">
        <x:v>MAP-021</x:v>
      </x:c>
      <x:c r="B22" s="9" t="str">
        <x:v>05_ATTRIBUTE_REGISTRY</x:v>
      </x:c>
      <x:c r="C22" s="9" t="str">
        <x:v>attribute_key</x:v>
      </x:c>
      <x:c r="D22" s="9" t="str">
        <x:v>attribute</x:v>
      </x:c>
      <x:c r="E22" s="9" t="str">
        <x:v>wheel-characteristics</x:v>
      </x:c>
      <x:c r="F22" s="9" t="str">
        <x:v>key</x:v>
      </x:c>
      <x:c r="G22" s="9" t="str">
        <x:v>string</x:v>
      </x:c>
      <x:c r="H22" s="16" t="b">
        <x:v>1</x:v>
      </x:c>
      <x:c r="I22" s="9" t="str">
        <x:v>dynamic_definition</x:v>
      </x:c>
      <x:c r="J22" s="9" t="str">
        <x:v>Normalize key, preserve stable ID, map canonical unit.</x:v>
      </x:c>
      <x:c r="K22" s="9" t="str">
        <x:v>published</x:v>
      </x:c>
      <x:c r="L22" s="9" t="str">
        <x:v>internal_demo</x:v>
      </x:c>
      <x:c r="M22" s="9" t="str">
        <x:v>SRC-INTERNAL-DEMO-20260726</x:v>
      </x:c>
    </x:row>
    <x:row r="23" ht="24" hidden="0" customHeight="1">
      <x:c r="A23" s="10" t="str">
        <x:v>MAP-022</x:v>
      </x:c>
      <x:c r="B23" s="10" t="str">
        <x:v>05_ATTRIBUTE_REGISTRY</x:v>
      </x:c>
      <x:c r="C23" s="10" t="str">
        <x:v>data_type</x:v>
      </x:c>
      <x:c r="D23" s="10" t="str">
        <x:v>attribute</x:v>
      </x:c>
      <x:c r="E23" s="10" t="str">
        <x:v>wheel-characteristics</x:v>
      </x:c>
      <x:c r="F23" s="10" t="str">
        <x:v>dataType</x:v>
      </x:c>
      <x:c r="G23" s="10" t="str">
        <x:v>select</x:v>
      </x:c>
      <x:c r="H23" s="17" t="b">
        <x:v>1</x:v>
      </x:c>
      <x:c r="I23" s="10" t="str">
        <x:v>dynamic_definition</x:v>
      </x:c>
      <x:c r="J23" s="10" t="str">
        <x:v>Normalize key, preserve stable ID, map canonical unit.</x:v>
      </x:c>
      <x:c r="K23" s="10" t="str">
        <x:v>published</x:v>
      </x:c>
      <x:c r="L23" s="10" t="str">
        <x:v>internal_demo</x:v>
      </x:c>
      <x:c r="M23" s="10" t="str">
        <x:v>SRC-INTERNAL-DEMO-20260726</x:v>
      </x:c>
    </x:row>
    <x:row r="24" ht="24" hidden="0" customHeight="1">
      <x:c r="A24" s="9" t="str">
        <x:v>MAP-023</x:v>
      </x:c>
      <x:c r="B24" s="9" t="str">
        <x:v>05_ATTRIBUTE_REGISTRY</x:v>
      </x:c>
      <x:c r="C24" s="9" t="str">
        <x:v>filterable</x:v>
      </x:c>
      <x:c r="D24" s="9" t="str">
        <x:v>attribute</x:v>
      </x:c>
      <x:c r="E24" s="9" t="str">
        <x:v>wheel-characteristics</x:v>
      </x:c>
      <x:c r="F24" s="9" t="str">
        <x:v>filterable</x:v>
      </x:c>
      <x:c r="G24" s="9" t="str">
        <x:v>boolean</x:v>
      </x:c>
      <x:c r="H24" s="16" t="b">
        <x:v>1</x:v>
      </x:c>
      <x:c r="I24" s="9" t="str">
        <x:v>dynamic_definition</x:v>
      </x:c>
      <x:c r="J24" s="9" t="str">
        <x:v>Normalize key, preserve stable ID, map canonical unit.</x:v>
      </x:c>
      <x:c r="K24" s="9" t="str">
        <x:v>published</x:v>
      </x:c>
      <x:c r="L24" s="9" t="str">
        <x:v>internal_demo</x:v>
      </x:c>
      <x:c r="M24" s="9" t="str">
        <x:v>SRC-INTERNAL-DEMO-20260726</x:v>
      </x:c>
    </x:row>
    <x:row r="25" ht="24" hidden="0" customHeight="1">
      <x:c r="A25" s="10" t="str">
        <x:v>MAP-024</x:v>
      </x:c>
      <x:c r="B25" s="10" t="str">
        <x:v>06_ATTRIBUTE_VALUES</x:v>
      </x:c>
      <x:c r="C25" s="10" t="str">
        <x:v>entity_id</x:v>
      </x:c>
      <x:c r="D25" s="10" t="str">
        <x:v>attribute_value</x:v>
      </x:c>
      <x:c r="E25" s="10" t="str">
        <x:v>wheel-characteristic-values</x:v>
      </x:c>
      <x:c r="F25" s="10" t="str">
        <x:v>entity</x:v>
      </x:c>
      <x:c r="G25" s="10" t="str">
        <x:v>polymorphic_relation</x:v>
      </x:c>
      <x:c r="H25" s="17" t="b">
        <x:v>1</x:v>
      </x:c>
      <x:c r="I25" s="10" t="str">
        <x:v>dynamic_value</x:v>
      </x:c>
      <x:c r="J25" s="10" t="str">
        <x:v>Normalize key, preserve stable ID, map canonical unit.</x:v>
      </x:c>
      <x:c r="K25" s="10" t="str">
        <x:v>published</x:v>
      </x:c>
      <x:c r="L25" s="10" t="str">
        <x:v>internal_demo</x:v>
      </x:c>
      <x:c r="M25" s="10" t="str">
        <x:v>SRC-INTERNAL-DEMO-20260726</x:v>
      </x:c>
    </x:row>
    <x:row r="26" ht="24" hidden="0" customHeight="1">
      <x:c r="A26" s="9" t="str">
        <x:v>MAP-025</x:v>
      </x:c>
      <x:c r="B26" s="9" t="str">
        <x:v>06_ATTRIBUTE_VALUES</x:v>
      </x:c>
      <x:c r="C26" s="9" t="str">
        <x:v>attribute_key</x:v>
      </x:c>
      <x:c r="D26" s="9" t="str">
        <x:v>attribute_value</x:v>
      </x:c>
      <x:c r="E26" s="9" t="str">
        <x:v>wheel-characteristic-values</x:v>
      </x:c>
      <x:c r="F26" s="9" t="str">
        <x:v>characteristic</x:v>
      </x:c>
      <x:c r="G26" s="9" t="str">
        <x:v>relationship</x:v>
      </x:c>
      <x:c r="H26" s="16" t="b">
        <x:v>1</x:v>
      </x:c>
      <x:c r="I26" s="9" t="str">
        <x:v>dynamic_value</x:v>
      </x:c>
      <x:c r="J26" s="9" t="str">
        <x:v>Normalize key, preserve stable ID, map canonical unit.</x:v>
      </x:c>
      <x:c r="K26" s="9" t="str">
        <x:v>published</x:v>
      </x:c>
      <x:c r="L26" s="9" t="str">
        <x:v>internal_demo</x:v>
      </x:c>
      <x:c r="M26" s="9" t="str">
        <x:v>SRC-INTERNAL-DEMO-20260726</x:v>
      </x:c>
    </x:row>
    <x:row r="27" ht="24" hidden="0" customHeight="1">
      <x:c r="A27" s="10" t="str">
        <x:v>MAP-026</x:v>
      </x:c>
      <x:c r="B27" s="10" t="str">
        <x:v>06_ATTRIBUTE_VALUES</x:v>
      </x:c>
      <x:c r="C27" s="10" t="str">
        <x:v>value_*</x:v>
      </x:c>
      <x:c r="D27" s="10" t="str">
        <x:v>attribute_value</x:v>
      </x:c>
      <x:c r="E27" s="10" t="str">
        <x:v>wheel-characteristic-values</x:v>
      </x:c>
      <x:c r="F27" s="10" t="str">
        <x:v>typedValue</x:v>
      </x:c>
      <x:c r="G27" s="10" t="str">
        <x:v>group</x:v>
      </x:c>
      <x:c r="H27" s="17" t="b">
        <x:v>1</x:v>
      </x:c>
      <x:c r="I27" s="10" t="str">
        <x:v>dynamic_value</x:v>
      </x:c>
      <x:c r="J27" s="10" t="str">
        <x:v>Normalize key, preserve stable ID, map canonical unit.</x:v>
      </x:c>
      <x:c r="K27" s="10" t="str">
        <x:v>published</x:v>
      </x:c>
      <x:c r="L27" s="10" t="str">
        <x:v>internal_demo</x:v>
      </x:c>
      <x:c r="M27" s="10" t="str">
        <x:v>SRC-INTERNAL-DEMO-20260726</x:v>
      </x:c>
    </x:row>
    <x:row r="28" ht="24" hidden="0" customHeight="1">
      <x:c r="A28" s="9" t="str">
        <x:v>MAP-027</x:v>
      </x:c>
      <x:c r="B28" s="9" t="str">
        <x:v>07_FILTER_REGISTRY</x:v>
      </x:c>
      <x:c r="C28" s="9" t="str">
        <x:v>filter_key</x:v>
      </x:c>
      <x:c r="D28" s="9" t="str">
        <x:v>filter</x:v>
      </x:c>
      <x:c r="E28" s="9" t="str">
        <x:v>wheel-filter-configs</x:v>
      </x:c>
      <x:c r="F28" s="9" t="str">
        <x:v>key</x:v>
      </x:c>
      <x:c r="G28" s="9" t="str">
        <x:v>string</x:v>
      </x:c>
      <x:c r="H28" s="16" t="b">
        <x:v>1</x:v>
      </x:c>
      <x:c r="I28" s="9" t="str">
        <x:v>filter_control</x:v>
      </x:c>
      <x:c r="J28" s="9" t="str">
        <x:v>Normalize key, preserve stable ID, map canonical unit.</x:v>
      </x:c>
      <x:c r="K28" s="9" t="str">
        <x:v>published</x:v>
      </x:c>
      <x:c r="L28" s="9" t="str">
        <x:v>internal_demo</x:v>
      </x:c>
      <x:c r="M28" s="9" t="str">
        <x:v>SRC-INTERNAL-DEMO-20260726</x:v>
      </x:c>
    </x:row>
    <x:row r="29" ht="24" hidden="0" customHeight="1">
      <x:c r="A29" s="10" t="str">
        <x:v>MAP-028</x:v>
      </x:c>
      <x:c r="B29" s="10" t="str">
        <x:v>07_FILTER_REGISTRY</x:v>
      </x:c>
      <x:c r="C29" s="10" t="str">
        <x:v>enabled</x:v>
      </x:c>
      <x:c r="D29" s="10" t="str">
        <x:v>filter</x:v>
      </x:c>
      <x:c r="E29" s="10" t="str">
        <x:v>wheel-filter-configs</x:v>
      </x:c>
      <x:c r="F29" s="10" t="str">
        <x:v>enabled</x:v>
      </x:c>
      <x:c r="G29" s="10" t="str">
        <x:v>boolean</x:v>
      </x:c>
      <x:c r="H29" s="17" t="b">
        <x:v>1</x:v>
      </x:c>
      <x:c r="I29" s="10" t="str">
        <x:v>filter_control</x:v>
      </x:c>
      <x:c r="J29" s="10" t="str">
        <x:v>Normalize key, preserve stable ID, map canonical unit.</x:v>
      </x:c>
      <x:c r="K29" s="10" t="str">
        <x:v>published</x:v>
      </x:c>
      <x:c r="L29" s="10" t="str">
        <x:v>internal_demo</x:v>
      </x:c>
      <x:c r="M29" s="10" t="str">
        <x:v>SRC-INTERNAL-DEMO-20260726</x:v>
      </x:c>
    </x:row>
    <x:row r="30" ht="24" hidden="0" customHeight="1">
      <x:c r="A30" s="9" t="str">
        <x:v>MAP-029</x:v>
      </x:c>
      <x:c r="B30" s="9" t="str">
        <x:v>11_FITMENT_SETS</x:v>
      </x:c>
      <x:c r="C30" s="9" t="str">
        <x:v>fitment_set_id</x:v>
      </x:c>
      <x:c r="D30" s="9" t="str">
        <x:v>fitment</x:v>
      </x:c>
      <x:c r="E30" s="9" t="str">
        <x:v>wheel-fitments</x:v>
      </x:c>
      <x:c r="F30" s="9" t="str">
        <x:v>externalId</x:v>
      </x:c>
      <x:c r="G30" s="9" t="str">
        <x:v>string</x:v>
      </x:c>
      <x:c r="H30" s="16" t="b">
        <x:v>1</x:v>
      </x:c>
      <x:c r="I30" s="9" t="str">
        <x:v>fitment</x:v>
      </x:c>
      <x:c r="J30" s="9" t="str">
        <x:v>Normalize key, preserve stable ID, map canonical unit.</x:v>
      </x:c>
      <x:c r="K30" s="9" t="str">
        <x:v>published</x:v>
      </x:c>
      <x:c r="L30" s="9" t="str">
        <x:v>internal_demo</x:v>
      </x:c>
      <x:c r="M30" s="9" t="str">
        <x:v>SRC-INTERNAL-DEMO-20260726</x:v>
      </x:c>
    </x:row>
    <x:row r="31" ht="24" hidden="0" customHeight="1">
      <x:c r="A31" s="10" t="str">
        <x:v>MAP-030</x:v>
      </x:c>
      <x:c r="B31" s="10" t="str">
        <x:v>11_FITMENT_SETS</x:v>
      </x:c>
      <x:c r="C31" s="10" t="str">
        <x:v>vehicle_id</x:v>
      </x:c>
      <x:c r="D31" s="10" t="str">
        <x:v>fitment</x:v>
      </x:c>
      <x:c r="E31" s="10" t="str">
        <x:v>vehicles</x:v>
      </x:c>
      <x:c r="F31" s="10" t="str">
        <x:v>externalId</x:v>
      </x:c>
      <x:c r="G31" s="10" t="str">
        <x:v>string</x:v>
      </x:c>
      <x:c r="H31" s="17" t="b">
        <x:v>1</x:v>
      </x:c>
      <x:c r="I31" s="10" t="str">
        <x:v>fitment</x:v>
      </x:c>
      <x:c r="J31" s="10" t="str">
        <x:v>Normalize key, preserve stable ID, map canonical unit.</x:v>
      </x:c>
      <x:c r="K31" s="10" t="str">
        <x:v>published</x:v>
      </x:c>
      <x:c r="L31" s="10" t="str">
        <x:v>internal_demo</x:v>
      </x:c>
      <x:c r="M31" s="10" t="str">
        <x:v>SRC-INTERNAL-DEMO-20260726</x:v>
      </x:c>
    </x:row>
  </x:sheetData>
  <x:conditionalFormatting sqref="K2:K31">
    <x:cfRule type="containsText" dxfId="162" priority="1" operator="containsText" text="published"/>
    <x:cfRule type="containsText" dxfId="163" priority="2" operator="containsText" text="ok"/>
    <x:cfRule type="containsText" dxfId="164" priority="3" operator="containsText" text="pass"/>
    <x:cfRule type="containsText" dxfId="165" priority="4" operator="containsText" text="compatible"/>
    <x:cfRule type="containsText" dxfId="166" priority="5" operator="containsText" text="review"/>
    <x:cfRule type="containsText" dxfId="167" priority="6" operator="containsText" text="conditional"/>
    <x:cfRule type="containsText" dxfId="168" priority="7" operator="containsText" text="error"/>
    <x:cfRule type="containsText" dxfId="169" priority="8" operator="containsText" text="fail"/>
    <x:cfRule type="containsText" dxfId="170" priority="9" operator="containsText" text="archived"/>
  </x:conditionalFormatting>
  <x:dataValidations count="1">
    <x:dataValidation type="list" sqref="K2:K31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ea5cbb86f7492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15" hidden="0" customWidth="1"/>
    <x:col min="4" max="4" width="15" hidden="0" customWidth="1"/>
    <x:col min="5" max="5" width="20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0" hidden="0" customWidth="1"/>
    <x:col min="12" max="12" width="34" hidden="0" customWidth="1"/>
    <x:col min="13" max="13" width="18" hidden="0" customWidth="1"/>
    <x:col min="14" max="14" width="18" hidden="0" customWidth="1"/>
    <x:col min="15" max="15" width="26" hidden="0" customWidth="1"/>
  </x:cols>
  <x:sheetData>
    <x:row r="1" ht="30" customHeight="1">
      <x:c r="A1" s="8" t="str">
        <x:v>schema_record_id</x:v>
      </x:c>
      <x:c r="B1" s="8" t="str">
        <x:v>logical_entity</x:v>
      </x:c>
      <x:c r="C1" s="8" t="str">
        <x:v>logical_field</x:v>
      </x:c>
      <x:c r="D1" s="8" t="str">
        <x:v>storage_layer</x:v>
      </x:c>
      <x:c r="E1" s="8" t="str">
        <x:v>proposed_table_or_collection</x:v>
      </x:c>
      <x:c r="F1" s="8" t="str">
        <x:v>proposed_column_or_path</x:v>
      </x:c>
      <x:c r="G1" s="8" t="str">
        <x:v>data_type</x:v>
      </x:c>
      <x:c r="H1" s="8" t="str">
        <x:v>nullable</x:v>
      </x:c>
      <x:c r="I1" s="8" t="str">
        <x:v>indexed</x:v>
      </x:c>
      <x:c r="J1" s="8" t="str">
        <x:v>unique</x:v>
      </x:c>
      <x:c r="K1" s="8" t="str">
        <x:v>foreign_key_target</x:v>
      </x:c>
      <x:c r="L1" s="8" t="str">
        <x:v>notes</x:v>
      </x:c>
      <x:c r="M1" s="8" t="str">
        <x:v>lifecycle_status</x:v>
      </x:c>
      <x:c r="N1" s="8" t="str">
        <x:v>source_type</x:v>
      </x:c>
      <x:c r="O1" s="8" t="str">
        <x:v>source_id</x:v>
      </x:c>
    </x:row>
    <x:row r="2" ht="24" hidden="0" customHeight="1">
      <x:c r="A2" s="9" t="str">
        <x:v>DB-001</x:v>
      </x:c>
      <x:c r="B2" s="9" t="str">
        <x:v>model</x:v>
      </x:c>
      <x:c r="C2" s="9" t="str">
        <x:v>model_id</x:v>
      </x:c>
      <x:c r="D2" s="9" t="str">
        <x:v>protected_core</x:v>
      </x:c>
      <x:c r="E2" s="9" t="str">
        <x:v>wheel-models</x:v>
      </x:c>
      <x:c r="F2" s="9" t="str">
        <x:v>externalId</x:v>
      </x:c>
      <x:c r="G2" s="9" t="str">
        <x:v>string</x:v>
      </x:c>
      <x:c r="H2" s="16" t="b">
        <x:v>0</x:v>
      </x:c>
      <x:c r="I2" s="16" t="b">
        <x:v>1</x:v>
      </x:c>
      <x:c r="J2" s="16" t="b">
        <x:v>1</x:v>
      </x:c>
      <x:c r="K2" s="9"/>
      <x:c r="L2" s="9" t="str">
        <x:v>Проектная схема; реализация Payload является отдельным этапом.</x:v>
      </x:c>
      <x:c r="M2" s="9" t="str">
        <x:v>published</x:v>
      </x:c>
      <x:c r="N2" s="9" t="str">
        <x:v>internal_demo</x:v>
      </x:c>
      <x:c r="O2" s="9" t="str">
        <x:v>SRC-INTERNAL-DEMO-20260726</x:v>
      </x:c>
    </x:row>
    <x:row r="3" ht="24" hidden="0" customHeight="1">
      <x:c r="A3" s="10" t="str">
        <x:v>DB-002</x:v>
      </x:c>
      <x:c r="B3" s="10" t="str">
        <x:v>model</x:v>
      </x:c>
      <x:c r="C3" s="10" t="str">
        <x:v>slug</x:v>
      </x:c>
      <x:c r="D3" s="10" t="str">
        <x:v>protected_core</x:v>
      </x:c>
      <x:c r="E3" s="10" t="str">
        <x:v>wheel-models</x:v>
      </x:c>
      <x:c r="F3" s="10" t="str">
        <x:v>slug</x:v>
      </x:c>
      <x:c r="G3" s="10" t="str">
        <x:v>string</x:v>
      </x:c>
      <x:c r="H3" s="17" t="b">
        <x:v>0</x:v>
      </x:c>
      <x:c r="I3" s="17" t="b">
        <x:v>0</x:v>
      </x:c>
      <x:c r="J3" s="17" t="b">
        <x:v>0</x:v>
      </x:c>
      <x:c r="K3" s="10"/>
      <x:c r="L3" s="10" t="str">
        <x:v>Проектная схема; реализация Payload является отдельным этапом.</x:v>
      </x:c>
      <x:c r="M3" s="10" t="str">
        <x:v>published</x:v>
      </x:c>
      <x:c r="N3" s="10" t="str">
        <x:v>internal_demo</x:v>
      </x:c>
      <x:c r="O3" s="10" t="str">
        <x:v>SRC-INTERNAL-DEMO-20260726</x:v>
      </x:c>
    </x:row>
    <x:row r="4" ht="24" hidden="0" customHeight="1">
      <x:c r="A4" s="9" t="str">
        <x:v>DB-003</x:v>
      </x:c>
      <x:c r="B4" s="9" t="str">
        <x:v>model</x:v>
      </x:c>
      <x:c r="C4" s="9" t="str">
        <x:v>public_name_ru</x:v>
      </x:c>
      <x:c r="D4" s="9" t="str">
        <x:v>protected_core</x:v>
      </x:c>
      <x:c r="E4" s="9" t="str">
        <x:v>wheel-models</x:v>
      </x:c>
      <x:c r="F4" s="9" t="str">
        <x:v>name</x:v>
      </x:c>
      <x:c r="G4" s="9" t="str">
        <x:v>string</x:v>
      </x:c>
      <x:c r="H4" s="16" t="b">
        <x:v>0</x:v>
      </x:c>
      <x:c r="I4" s="16" t="b">
        <x:v>0</x:v>
      </x:c>
      <x:c r="J4" s="16" t="b">
        <x:v>0</x:v>
      </x:c>
      <x:c r="K4" s="9"/>
      <x:c r="L4" s="9" t="str">
        <x:v>Проектная схема; реализация Payload является отдельным этапом.</x:v>
      </x:c>
      <x:c r="M4" s="9" t="str">
        <x:v>published</x:v>
      </x:c>
      <x:c r="N4" s="9" t="str">
        <x:v>internal_demo</x:v>
      </x:c>
      <x:c r="O4" s="9" t="str">
        <x:v>SRC-INTERNAL-DEMO-20260726</x:v>
      </x:c>
    </x:row>
    <x:row r="5" ht="24" hidden="0" customHeight="1">
      <x:c r="A5" s="10" t="str">
        <x:v>DB-004</x:v>
      </x:c>
      <x:c r="B5" s="10" t="str">
        <x:v>model</x:v>
      </x:c>
      <x:c r="C5" s="10" t="str">
        <x:v>positioning_key</x:v>
      </x:c>
      <x:c r="D5" s="10" t="str">
        <x:v>protected_core</x:v>
      </x:c>
      <x:c r="E5" s="10" t="str">
        <x:v>wheel-models</x:v>
      </x:c>
      <x:c r="F5" s="10" t="str">
        <x:v>designStyle</x:v>
      </x:c>
      <x:c r="G5" s="10" t="str">
        <x:v>string</x:v>
      </x:c>
      <x:c r="H5" s="17" t="b">
        <x:v>1</x:v>
      </x:c>
      <x:c r="I5" s="17" t="b">
        <x:v>0</x:v>
      </x:c>
      <x:c r="J5" s="17" t="b">
        <x:v>0</x:v>
      </x:c>
      <x:c r="K5" s="10"/>
      <x:c r="L5" s="10" t="str">
        <x:v>Проектная схема; реализация Payload является отдельным этапом.</x:v>
      </x:c>
      <x:c r="M5" s="10" t="str">
        <x:v>published</x:v>
      </x:c>
      <x:c r="N5" s="10" t="str">
        <x:v>internal_demo</x:v>
      </x:c>
      <x:c r="O5" s="10" t="str">
        <x:v>SRC-INTERNAL-DEMO-20260726</x:v>
      </x:c>
    </x:row>
    <x:row r="6" ht="24" hidden="0" customHeight="1">
      <x:c r="A6" s="9" t="str">
        <x:v>DB-005</x:v>
      </x:c>
      <x:c r="B6" s="9" t="str">
        <x:v>model</x:v>
      </x:c>
      <x:c r="C6" s="9" t="str">
        <x:v>short_description_ru</x:v>
      </x:c>
      <x:c r="D6" s="9" t="str">
        <x:v>protected_core</x:v>
      </x:c>
      <x:c r="E6" s="9" t="str">
        <x:v>wheel-models</x:v>
      </x:c>
      <x:c r="F6" s="9" t="str">
        <x:v>shortDescription</x:v>
      </x:c>
      <x:c r="G6" s="9" t="str">
        <x:v>string</x:v>
      </x:c>
      <x:c r="H6" s="16" t="b">
        <x:v>0</x:v>
      </x:c>
      <x:c r="I6" s="16" t="b">
        <x:v>0</x:v>
      </x:c>
      <x:c r="J6" s="16" t="b">
        <x:v>0</x:v>
      </x:c>
      <x:c r="K6" s="9"/>
      <x:c r="L6" s="9" t="str">
        <x:v>Проектная схема; реализация Payload является отдельным этапом.</x:v>
      </x:c>
      <x:c r="M6" s="9" t="str">
        <x:v>published</x:v>
      </x:c>
      <x:c r="N6" s="9" t="str">
        <x:v>internal_demo</x:v>
      </x:c>
      <x:c r="O6" s="9" t="str">
        <x:v>SRC-INTERNAL-DEMO-20260726</x:v>
      </x:c>
    </x:row>
    <x:row r="7" ht="24" hidden="0" customHeight="1">
      <x:c r="A7" s="10" t="str">
        <x:v>DB-006</x:v>
      </x:c>
      <x:c r="B7" s="10" t="str">
        <x:v>model</x:v>
      </x:c>
      <x:c r="C7" s="10" t="str">
        <x:v>full_description_ru</x:v>
      </x:c>
      <x:c r="D7" s="10" t="str">
        <x:v>protected_core</x:v>
      </x:c>
      <x:c r="E7" s="10" t="str">
        <x:v>wheel-models</x:v>
      </x:c>
      <x:c r="F7" s="10" t="str">
        <x:v>fullDescription</x:v>
      </x:c>
      <x:c r="G7" s="10" t="str">
        <x:v>richText</x:v>
      </x:c>
      <x:c r="H7" s="17" t="b">
        <x:v>1</x:v>
      </x:c>
      <x:c r="I7" s="17" t="b">
        <x:v>0</x:v>
      </x:c>
      <x:c r="J7" s="17" t="b">
        <x:v>0</x:v>
      </x:c>
      <x:c r="K7" s="10"/>
      <x:c r="L7" s="10" t="str">
        <x:v>Проектная схема; реализация Payload является отдельным этапом.</x:v>
      </x:c>
      <x:c r="M7" s="10" t="str">
        <x:v>published</x:v>
      </x:c>
      <x:c r="N7" s="10" t="str">
        <x:v>internal_demo</x:v>
      </x:c>
      <x:c r="O7" s="10" t="str">
        <x:v>SRC-INTERNAL-DEMO-20260726</x:v>
      </x:c>
    </x:row>
    <x:row r="8" ht="24" hidden="0" customHeight="1">
      <x:c r="A8" s="9" t="str">
        <x:v>DB-007</x:v>
      </x:c>
      <x:c r="B8" s="9" t="str">
        <x:v>model</x:v>
      </x:c>
      <x:c r="C8" s="9" t="str">
        <x:v>hero_media_id</x:v>
      </x:c>
      <x:c r="D8" s="9" t="str">
        <x:v>protected_core</x:v>
      </x:c>
      <x:c r="E8" s="9" t="str">
        <x:v>wheel-models</x:v>
      </x:c>
      <x:c r="F8" s="9" t="str">
        <x:v>mainImage</x:v>
      </x:c>
      <x:c r="G8" s="9" t="str">
        <x:v>relationship</x:v>
      </x:c>
      <x:c r="H8" s="16" t="b">
        <x:v>1</x:v>
      </x:c>
      <x:c r="I8" s="16" t="b">
        <x:v>0</x:v>
      </x:c>
      <x:c r="J8" s="16" t="b">
        <x:v>0</x:v>
      </x:c>
      <x:c r="K8" s="9"/>
      <x:c r="L8" s="9" t="str">
        <x:v>Проектная схема; реализация Payload является отдельным этапом.</x:v>
      </x:c>
      <x:c r="M8" s="9" t="str">
        <x:v>published</x:v>
      </x:c>
      <x:c r="N8" s="9" t="str">
        <x:v>internal_demo</x:v>
      </x:c>
      <x:c r="O8" s="9" t="str">
        <x:v>SRC-INTERNAL-DEMO-20260726</x:v>
      </x:c>
    </x:row>
    <x:row r="9" ht="24" hidden="0" customHeight="1">
      <x:c r="A9" s="10" t="str">
        <x:v>DB-008</x:v>
      </x:c>
      <x:c r="B9" s="10" t="str">
        <x:v>variant</x:v>
      </x:c>
      <x:c r="C9" s="10" t="str">
        <x:v>variant_id</x:v>
      </x:c>
      <x:c r="D9" s="10" t="str">
        <x:v>protected_core</x:v>
      </x:c>
      <x:c r="E9" s="10" t="str">
        <x:v>wheel-variants</x:v>
      </x:c>
      <x:c r="F9" s="10" t="str">
        <x:v>externalId</x:v>
      </x:c>
      <x:c r="G9" s="10" t="str">
        <x:v>string</x:v>
      </x:c>
      <x:c r="H9" s="17" t="b">
        <x:v>0</x:v>
      </x:c>
      <x:c r="I9" s="17" t="b">
        <x:v>1</x:v>
      </x:c>
      <x:c r="J9" s="17" t="b">
        <x:v>1</x:v>
      </x:c>
      <x:c r="K9" s="10"/>
      <x:c r="L9" s="10" t="str">
        <x:v>Проектная схема; реализация Payload является отдельным этапом.</x:v>
      </x:c>
      <x:c r="M9" s="10" t="str">
        <x:v>published</x:v>
      </x:c>
      <x:c r="N9" s="10" t="str">
        <x:v>internal_demo</x:v>
      </x:c>
      <x:c r="O9" s="10" t="str">
        <x:v>SRC-INTERNAL-DEMO-20260726</x:v>
      </x:c>
    </x:row>
    <x:row r="10" ht="24" hidden="0" customHeight="1">
      <x:c r="A10" s="9" t="str">
        <x:v>DB-009</x:v>
      </x:c>
      <x:c r="B10" s="9" t="str">
        <x:v>variant</x:v>
      </x:c>
      <x:c r="C10" s="9" t="str">
        <x:v>model_id</x:v>
      </x:c>
      <x:c r="D10" s="9" t="str">
        <x:v>protected_core</x:v>
      </x:c>
      <x:c r="E10" s="9" t="str">
        <x:v>wheel-variants</x:v>
      </x:c>
      <x:c r="F10" s="9" t="str">
        <x:v>wheelModel</x:v>
      </x:c>
      <x:c r="G10" s="9" t="str">
        <x:v>relationship</x:v>
      </x:c>
      <x:c r="H10" s="16" t="b">
        <x:v>0</x:v>
      </x:c>
      <x:c r="I10" s="16" t="b">
        <x:v>1</x:v>
      </x:c>
      <x:c r="J10" s="16" t="b">
        <x:v>1</x:v>
      </x:c>
      <x:c r="K10" s="9" t="str">
        <x:v>wheel-models.externalId</x:v>
      </x:c>
      <x:c r="L10" s="9" t="str">
        <x:v>Проектная схема; реализация Payload является отдельным этапом.</x:v>
      </x:c>
      <x:c r="M10" s="9" t="str">
        <x:v>published</x:v>
      </x:c>
      <x:c r="N10" s="9" t="str">
        <x:v>internal_demo</x:v>
      </x:c>
      <x:c r="O10" s="9" t="str">
        <x:v>SRC-INTERNAL-DEMO-20260726</x:v>
      </x:c>
    </x:row>
    <x:row r="11" ht="24" hidden="0" customHeight="1">
      <x:c r="A11" s="10" t="str">
        <x:v>DB-010</x:v>
      </x:c>
      <x:c r="B11" s="10" t="str">
        <x:v>variant</x:v>
      </x:c>
      <x:c r="C11" s="10" t="str">
        <x:v>sku</x:v>
      </x:c>
      <x:c r="D11" s="10" t="str">
        <x:v>protected_core</x:v>
      </x:c>
      <x:c r="E11" s="10" t="str">
        <x:v>wheel-variants</x:v>
      </x:c>
      <x:c r="F11" s="10" t="str">
        <x:v>sku</x:v>
      </x:c>
      <x:c r="G11" s="10" t="str">
        <x:v>string</x:v>
      </x:c>
      <x:c r="H11" s="17" t="b">
        <x:v>0</x:v>
      </x:c>
      <x:c r="I11" s="17" t="b">
        <x:v>0</x:v>
      </x:c>
      <x:c r="J11" s="17" t="b">
        <x:v>0</x:v>
      </x:c>
      <x:c r="K11" s="10"/>
      <x:c r="L11" s="10" t="str">
        <x:v>Проектная схема; реализация Payload является отдельным этапом.</x:v>
      </x:c>
      <x:c r="M11" s="10" t="str">
        <x:v>published</x:v>
      </x:c>
      <x:c r="N11" s="10" t="str">
        <x:v>internal_demo</x:v>
      </x:c>
      <x:c r="O11" s="10" t="str">
        <x:v>SRC-INTERNAL-DEMO-20260726</x:v>
      </x:c>
    </x:row>
    <x:row r="12" ht="24" hidden="0" customHeight="1">
      <x:c r="A12" s="9" t="str">
        <x:v>DB-011</x:v>
      </x:c>
      <x:c r="B12" s="9" t="str">
        <x:v>variant</x:v>
      </x:c>
      <x:c r="C12" s="9" t="str">
        <x:v>diameter_in</x:v>
      </x:c>
      <x:c r="D12" s="9" t="str">
        <x:v>protected_core</x:v>
      </x:c>
      <x:c r="E12" s="9" t="str">
        <x:v>wheel-variants</x:v>
      </x:c>
      <x:c r="F12" s="9" t="str">
        <x:v>diameter</x:v>
      </x:c>
      <x:c r="G12" s="9" t="str">
        <x:v>number</x:v>
      </x:c>
      <x:c r="H12" s="16" t="b">
        <x:v>0</x:v>
      </x:c>
      <x:c r="I12" s="16" t="b">
        <x:v>1</x:v>
      </x:c>
      <x:c r="J12" s="16" t="b">
        <x:v>0</x:v>
      </x:c>
      <x:c r="K12" s="9"/>
      <x:c r="L12" s="9" t="str">
        <x:v>Проектная схема; реализация Payload является отдельным этапом.</x:v>
      </x:c>
      <x:c r="M12" s="9" t="str">
        <x:v>published</x:v>
      </x:c>
      <x:c r="N12" s="9" t="str">
        <x:v>internal_demo</x:v>
      </x:c>
      <x:c r="O12" s="9" t="str">
        <x:v>SRC-INTERNAL-DEMO-20260726</x:v>
      </x:c>
    </x:row>
    <x:row r="13" ht="24" hidden="0" customHeight="1">
      <x:c r="A13" s="10" t="str">
        <x:v>DB-012</x:v>
      </x:c>
      <x:c r="B13" s="10" t="str">
        <x:v>variant</x:v>
      </x:c>
      <x:c r="C13" s="10" t="str">
        <x:v>width_in</x:v>
      </x:c>
      <x:c r="D13" s="10" t="str">
        <x:v>protected_core</x:v>
      </x:c>
      <x:c r="E13" s="10" t="str">
        <x:v>wheel-variants</x:v>
      </x:c>
      <x:c r="F13" s="10" t="str">
        <x:v>width</x:v>
      </x:c>
      <x:c r="G13" s="10" t="str">
        <x:v>number</x:v>
      </x:c>
      <x:c r="H13" s="17" t="b">
        <x:v>0</x:v>
      </x:c>
      <x:c r="I13" s="17" t="b">
        <x:v>1</x:v>
      </x:c>
      <x:c r="J13" s="17" t="b">
        <x:v>0</x:v>
      </x:c>
      <x:c r="K13" s="10"/>
      <x:c r="L13" s="10" t="str">
        <x:v>Проектная схема; реализация Payload является отдельным этапом.</x:v>
      </x:c>
      <x:c r="M13" s="10" t="str">
        <x:v>published</x:v>
      </x:c>
      <x:c r="N13" s="10" t="str">
        <x:v>internal_demo</x:v>
      </x:c>
      <x:c r="O13" s="10" t="str">
        <x:v>SRC-INTERNAL-DEMO-20260726</x:v>
      </x:c>
    </x:row>
    <x:row r="14" ht="24" hidden="0" customHeight="1">
      <x:c r="A14" s="9" t="str">
        <x:v>DB-013</x:v>
      </x:c>
      <x:c r="B14" s="9" t="str">
        <x:v>variant</x:v>
      </x:c>
      <x:c r="C14" s="9" t="str">
        <x:v>offset_et_mm</x:v>
      </x:c>
      <x:c r="D14" s="9" t="str">
        <x:v>protected_core</x:v>
      </x:c>
      <x:c r="E14" s="9" t="str">
        <x:v>wheel-variants</x:v>
      </x:c>
      <x:c r="F14" s="9" t="str">
        <x:v>offsetET</x:v>
      </x:c>
      <x:c r="G14" s="9" t="str">
        <x:v>number</x:v>
      </x:c>
      <x:c r="H14" s="16" t="b">
        <x:v>0</x:v>
      </x:c>
      <x:c r="I14" s="16" t="b">
        <x:v>1</x:v>
      </x:c>
      <x:c r="J14" s="16" t="b">
        <x:v>0</x:v>
      </x:c>
      <x:c r="K14" s="9"/>
      <x:c r="L14" s="9" t="str">
        <x:v>Проектная схема; реализация Payload является отдельным этапом.</x:v>
      </x:c>
      <x:c r="M14" s="9" t="str">
        <x:v>published</x:v>
      </x:c>
      <x:c r="N14" s="9" t="str">
        <x:v>internal_demo</x:v>
      </x:c>
      <x:c r="O14" s="9" t="str">
        <x:v>SRC-INTERNAL-DEMO-20260726</x:v>
      </x:c>
    </x:row>
    <x:row r="15" ht="24" hidden="0" customHeight="1">
      <x:c r="A15" s="10" t="str">
        <x:v>DB-014</x:v>
      </x:c>
      <x:c r="B15" s="10" t="str">
        <x:v>variant</x:v>
      </x:c>
      <x:c r="C15" s="10" t="str">
        <x:v>bolt_patterns</x:v>
      </x:c>
      <x:c r="D15" s="10" t="str">
        <x:v>protected_core</x:v>
      </x:c>
      <x:c r="E15" s="10" t="str">
        <x:v>wheel-variants</x:v>
      </x:c>
      <x:c r="F15" s="10" t="str">
        <x:v>boltPatterns</x:v>
      </x:c>
      <x:c r="G15" s="10" t="str">
        <x:v>array</x:v>
      </x:c>
      <x:c r="H15" s="17" t="b">
        <x:v>0</x:v>
      </x:c>
      <x:c r="I15" s="17" t="b">
        <x:v>0</x:v>
      </x:c>
      <x:c r="J15" s="17" t="b">
        <x:v>0</x:v>
      </x:c>
      <x:c r="K15" s="10"/>
      <x:c r="L15" s="10" t="str">
        <x:v>Проектная схема; реализация Payload является отдельным этапом.</x:v>
      </x:c>
      <x:c r="M15" s="10" t="str">
        <x:v>published</x:v>
      </x:c>
      <x:c r="N15" s="10" t="str">
        <x:v>internal_demo</x:v>
      </x:c>
      <x:c r="O15" s="10" t="str">
        <x:v>SRC-INTERNAL-DEMO-20260726</x:v>
      </x:c>
    </x:row>
    <x:row r="16" ht="24" hidden="0" customHeight="1">
      <x:c r="A16" s="9" t="str">
        <x:v>DB-015</x:v>
      </x:c>
      <x:c r="B16" s="9" t="str">
        <x:v>variant</x:v>
      </x:c>
      <x:c r="C16" s="9" t="str">
        <x:v>center_bore_mm</x:v>
      </x:c>
      <x:c r="D16" s="9" t="str">
        <x:v>protected_core</x:v>
      </x:c>
      <x:c r="E16" s="9" t="str">
        <x:v>wheel-variants</x:v>
      </x:c>
      <x:c r="F16" s="9" t="str">
        <x:v>centerBore</x:v>
      </x:c>
      <x:c r="G16" s="9" t="str">
        <x:v>number</x:v>
      </x:c>
      <x:c r="H16" s="16" t="b">
        <x:v>0</x:v>
      </x:c>
      <x:c r="I16" s="16" t="b">
        <x:v>0</x:v>
      </x:c>
      <x:c r="J16" s="16" t="b">
        <x:v>0</x:v>
      </x:c>
      <x:c r="K16" s="9"/>
      <x:c r="L16" s="9" t="str">
        <x:v>Проектная схема; реализация Payload является отдельным этапом.</x:v>
      </x:c>
      <x:c r="M16" s="9" t="str">
        <x:v>published</x:v>
      </x:c>
      <x:c r="N16" s="9" t="str">
        <x:v>internal_demo</x:v>
      </x:c>
      <x:c r="O16" s="9" t="str">
        <x:v>SRC-INTERNAL-DEMO-20260726</x:v>
      </x:c>
    </x:row>
    <x:row r="17" ht="24" hidden="0" customHeight="1">
      <x:c r="A17" s="10" t="str">
        <x:v>DB-016</x:v>
      </x:c>
      <x:c r="B17" s="10" t="str">
        <x:v>variant</x:v>
      </x:c>
      <x:c r="C17" s="10" t="str">
        <x:v>max_load_kg</x:v>
      </x:c>
      <x:c r="D17" s="10" t="str">
        <x:v>protected_core</x:v>
      </x:c>
      <x:c r="E17" s="10" t="str">
        <x:v>wheel-variants</x:v>
      </x:c>
      <x:c r="F17" s="10" t="str">
        <x:v>maxLoadKg</x:v>
      </x:c>
      <x:c r="G17" s="10" t="str">
        <x:v>number</x:v>
      </x:c>
      <x:c r="H17" s="17" t="b">
        <x:v>0</x:v>
      </x:c>
      <x:c r="I17" s="17" t="b">
        <x:v>0</x:v>
      </x:c>
      <x:c r="J17" s="17" t="b">
        <x:v>0</x:v>
      </x:c>
      <x:c r="K17" s="10"/>
      <x:c r="L17" s="10" t="str">
        <x:v>Проектная схема; реализация Payload является отдельным этапом.</x:v>
      </x:c>
      <x:c r="M17" s="10" t="str">
        <x:v>published</x:v>
      </x:c>
      <x:c r="N17" s="10" t="str">
        <x:v>internal_demo</x:v>
      </x:c>
      <x:c r="O17" s="10" t="str">
        <x:v>SRC-INTERNAL-DEMO-20260726</x:v>
      </x:c>
    </x:row>
    <x:row r="18" ht="24" hidden="0" customHeight="1">
      <x:c r="A18" s="9" t="str">
        <x:v>DB-017</x:v>
      </x:c>
      <x:c r="B18" s="9" t="str">
        <x:v>variant</x:v>
      </x:c>
      <x:c r="C18" s="9" t="str">
        <x:v>construction_type</x:v>
      </x:c>
      <x:c r="D18" s="9" t="str">
        <x:v>protected_core</x:v>
      </x:c>
      <x:c r="E18" s="9" t="str">
        <x:v>wheel-variants</x:v>
      </x:c>
      <x:c r="F18" s="9" t="str">
        <x:v>constructionType</x:v>
      </x:c>
      <x:c r="G18" s="9" t="str">
        <x:v>select</x:v>
      </x:c>
      <x:c r="H18" s="16" t="b">
        <x:v>0</x:v>
      </x:c>
      <x:c r="I18" s="16" t="b">
        <x:v>1</x:v>
      </x:c>
      <x:c r="J18" s="16" t="b">
        <x:v>0</x:v>
      </x:c>
      <x:c r="K18" s="9"/>
      <x:c r="L18" s="9" t="str">
        <x:v>Проектная схема; реализация Payload является отдельным этапом.</x:v>
      </x:c>
      <x:c r="M18" s="9" t="str">
        <x:v>published</x:v>
      </x:c>
      <x:c r="N18" s="9" t="str">
        <x:v>internal_demo</x:v>
      </x:c>
      <x:c r="O18" s="9" t="str">
        <x:v>SRC-INTERNAL-DEMO-20260726</x:v>
      </x:c>
    </x:row>
    <x:row r="19" ht="24" hidden="0" customHeight="1">
      <x:c r="A19" s="10" t="str">
        <x:v>DB-018</x:v>
      </x:c>
      <x:c r="B19" s="10" t="str">
        <x:v>variant</x:v>
      </x:c>
      <x:c r="C19" s="10" t="str">
        <x:v>sale_mode</x:v>
      </x:c>
      <x:c r="D19" s="10" t="str">
        <x:v>protected_core</x:v>
      </x:c>
      <x:c r="E19" s="10" t="str">
        <x:v>wheel-variants</x:v>
      </x:c>
      <x:c r="F19" s="10" t="str">
        <x:v>saleMode</x:v>
      </x:c>
      <x:c r="G19" s="10" t="str">
        <x:v>select</x:v>
      </x:c>
      <x:c r="H19" s="17" t="b">
        <x:v>0</x:v>
      </x:c>
      <x:c r="I19" s="17" t="b">
        <x:v>0</x:v>
      </x:c>
      <x:c r="J19" s="17" t="b">
        <x:v>0</x:v>
      </x:c>
      <x:c r="K19" s="10"/>
      <x:c r="L19" s="10" t="str">
        <x:v>Проектная схема; реализация Payload является отдельным этапом.</x:v>
      </x:c>
      <x:c r="M19" s="10" t="str">
        <x:v>published</x:v>
      </x:c>
      <x:c r="N19" s="10" t="str">
        <x:v>internal_demo</x:v>
      </x:c>
      <x:c r="O19" s="10" t="str">
        <x:v>SRC-INTERNAL-DEMO-20260726</x:v>
      </x:c>
    </x:row>
    <x:row r="20" ht="24" hidden="0" customHeight="1">
      <x:c r="A20" s="9" t="str">
        <x:v>DB-019</x:v>
      </x:c>
      <x:c r="B20" s="9" t="str">
        <x:v>variant</x:v>
      </x:c>
      <x:c r="C20" s="9" t="str">
        <x:v>availability</x:v>
      </x:c>
      <x:c r="D20" s="9" t="str">
        <x:v>protected_core</x:v>
      </x:c>
      <x:c r="E20" s="9" t="str">
        <x:v>wheel-variants</x:v>
      </x:c>
      <x:c r="F20" s="9" t="str">
        <x:v>available</x:v>
      </x:c>
      <x:c r="G20" s="9" t="str">
        <x:v>boolean</x:v>
      </x:c>
      <x:c r="H20" s="16" t="b">
        <x:v>0</x:v>
      </x:c>
      <x:c r="I20" s="16" t="b">
        <x:v>0</x:v>
      </x:c>
      <x:c r="J20" s="16" t="b">
        <x:v>0</x:v>
      </x:c>
      <x:c r="K20" s="9"/>
      <x:c r="L20" s="9" t="str">
        <x:v>Проектная схема; реализация Payload является отдельным этапом.</x:v>
      </x:c>
      <x:c r="M20" s="9" t="str">
        <x:v>published</x:v>
      </x:c>
      <x:c r="N20" s="9" t="str">
        <x:v>internal_demo</x:v>
      </x:c>
      <x:c r="O20" s="9" t="str">
        <x:v>SRC-INTERNAL-DEMO-20260726</x:v>
      </x:c>
    </x:row>
    <x:row r="21" ht="24" hidden="0" customHeight="1">
      <x:c r="A21" s="10" t="str">
        <x:v>DB-020</x:v>
      </x:c>
      <x:c r="B21" s="10" t="str">
        <x:v>variant</x:v>
      </x:c>
      <x:c r="C21" s="10" t="str">
        <x:v>price_rub</x:v>
      </x:c>
      <x:c r="D21" s="10" t="str">
        <x:v>protected_core</x:v>
      </x:c>
      <x:c r="E21" s="10" t="str">
        <x:v>wheel-variants</x:v>
      </x:c>
      <x:c r="F21" s="10" t="str">
        <x:v>price</x:v>
      </x:c>
      <x:c r="G21" s="10" t="str">
        <x:v>number</x:v>
      </x:c>
      <x:c r="H21" s="17" t="b">
        <x:v>1</x:v>
      </x:c>
      <x:c r="I21" s="17" t="b">
        <x:v>0</x:v>
      </x:c>
      <x:c r="J21" s="17" t="b">
        <x:v>0</x:v>
      </x:c>
      <x:c r="K21" s="10"/>
      <x:c r="L21" s="10" t="str">
        <x:v>Проектная схема; реализация Payload является отдельным этапом.</x:v>
      </x:c>
      <x:c r="M21" s="10" t="str">
        <x:v>published</x:v>
      </x:c>
      <x:c r="N21" s="10" t="str">
        <x:v>internal_demo</x:v>
      </x:c>
      <x:c r="O21" s="10" t="str">
        <x:v>SRC-INTERNAL-DEMO-20260726</x:v>
      </x:c>
    </x:row>
    <x:row r="22" ht="24" hidden="0" customHeight="1">
      <x:c r="A22" s="9" t="str">
        <x:v>DB-021</x:v>
      </x:c>
      <x:c r="B22" s="9" t="str">
        <x:v>attribute</x:v>
      </x:c>
      <x:c r="C22" s="9" t="str">
        <x:v>attribute_key</x:v>
      </x:c>
      <x:c r="D22" s="9" t="str">
        <x:v>dynamic_characteristics</x:v>
      </x:c>
      <x:c r="E22" s="9" t="str">
        <x:v>wheel-characteristics</x:v>
      </x:c>
      <x:c r="F22" s="9" t="str">
        <x:v>key</x:v>
      </x:c>
      <x:c r="G22" s="9" t="str">
        <x:v>string</x:v>
      </x:c>
      <x:c r="H22" s="16" t="b">
        <x:v>0</x:v>
      </x:c>
      <x:c r="I22" s="16" t="b">
        <x:v>1</x:v>
      </x:c>
      <x:c r="J22" s="16" t="b">
        <x:v>0</x:v>
      </x:c>
      <x:c r="K22" s="9"/>
      <x:c r="L22" s="9" t="str">
        <x:v>Проектная схема; реализация Payload является отдельным этапом.</x:v>
      </x:c>
      <x:c r="M22" s="9" t="str">
        <x:v>published</x:v>
      </x:c>
      <x:c r="N22" s="9" t="str">
        <x:v>internal_demo</x:v>
      </x:c>
      <x:c r="O22" s="9" t="str">
        <x:v>SRC-INTERNAL-DEMO-20260726</x:v>
      </x:c>
    </x:row>
    <x:row r="23" ht="24" hidden="0" customHeight="1">
      <x:c r="A23" s="10" t="str">
        <x:v>DB-022</x:v>
      </x:c>
      <x:c r="B23" s="10" t="str">
        <x:v>attribute</x:v>
      </x:c>
      <x:c r="C23" s="10" t="str">
        <x:v>data_type</x:v>
      </x:c>
      <x:c r="D23" s="10" t="str">
        <x:v>dynamic_characteristics</x:v>
      </x:c>
      <x:c r="E23" s="10" t="str">
        <x:v>wheel-characteristics</x:v>
      </x:c>
      <x:c r="F23" s="10" t="str">
        <x:v>dataType</x:v>
      </x:c>
      <x:c r="G23" s="10" t="str">
        <x:v>select</x:v>
      </x:c>
      <x:c r="H23" s="17" t="b">
        <x:v>0</x:v>
      </x:c>
      <x:c r="I23" s="17" t="b">
        <x:v>0</x:v>
      </x:c>
      <x:c r="J23" s="17" t="b">
        <x:v>0</x:v>
      </x:c>
      <x:c r="K23" s="10"/>
      <x:c r="L23" s="10" t="str">
        <x:v>Проектная схема; реализация Payload является отдельным этапом.</x:v>
      </x:c>
      <x:c r="M23" s="10" t="str">
        <x:v>published</x:v>
      </x:c>
      <x:c r="N23" s="10" t="str">
        <x:v>internal_demo</x:v>
      </x:c>
      <x:c r="O23" s="10" t="str">
        <x:v>SRC-INTERNAL-DEMO-20260726</x:v>
      </x:c>
    </x:row>
    <x:row r="24" ht="24" hidden="0" customHeight="1">
      <x:c r="A24" s="9" t="str">
        <x:v>DB-023</x:v>
      </x:c>
      <x:c r="B24" s="9" t="str">
        <x:v>attribute</x:v>
      </x:c>
      <x:c r="C24" s="9" t="str">
        <x:v>filterable</x:v>
      </x:c>
      <x:c r="D24" s="9" t="str">
        <x:v>dynamic_characteristics</x:v>
      </x:c>
      <x:c r="E24" s="9" t="str">
        <x:v>wheel-characteristics</x:v>
      </x:c>
      <x:c r="F24" s="9" t="str">
        <x:v>filterable</x:v>
      </x:c>
      <x:c r="G24" s="9" t="str">
        <x:v>boolean</x:v>
      </x:c>
      <x:c r="H24" s="16" t="b">
        <x:v>0</x:v>
      </x:c>
      <x:c r="I24" s="16" t="b">
        <x:v>0</x:v>
      </x:c>
      <x:c r="J24" s="16" t="b">
        <x:v>0</x:v>
      </x:c>
      <x:c r="K24" s="9"/>
      <x:c r="L24" s="9" t="str">
        <x:v>Проектная схема; реализация Payload является отдельным этапом.</x:v>
      </x:c>
      <x:c r="M24" s="9" t="str">
        <x:v>published</x:v>
      </x:c>
      <x:c r="N24" s="9" t="str">
        <x:v>internal_demo</x:v>
      </x:c>
      <x:c r="O24" s="9" t="str">
        <x:v>SRC-INTERNAL-DEMO-20260726</x:v>
      </x:c>
    </x:row>
    <x:row r="25" ht="24" hidden="0" customHeight="1">
      <x:c r="A25" s="10" t="str">
        <x:v>DB-024</x:v>
      </x:c>
      <x:c r="B25" s="10" t="str">
        <x:v>attribute_value</x:v>
      </x:c>
      <x:c r="C25" s="10" t="str">
        <x:v>entity_id</x:v>
      </x:c>
      <x:c r="D25" s="10" t="str">
        <x:v>dynamic_characteristics</x:v>
      </x:c>
      <x:c r="E25" s="10" t="str">
        <x:v>wheel-characteristic-values</x:v>
      </x:c>
      <x:c r="F25" s="10" t="str">
        <x:v>entity</x:v>
      </x:c>
      <x:c r="G25" s="10" t="str">
        <x:v>polymorphic_relation</x:v>
      </x:c>
      <x:c r="H25" s="17" t="b">
        <x:v>0</x:v>
      </x:c>
      <x:c r="I25" s="17" t="b">
        <x:v>0</x:v>
      </x:c>
      <x:c r="J25" s="17" t="b">
        <x:v>0</x:v>
      </x:c>
      <x:c r="K25" s="10"/>
      <x:c r="L25" s="10" t="str">
        <x:v>Проектная схема; реализация Payload является отдельным этапом.</x:v>
      </x:c>
      <x:c r="M25" s="10" t="str">
        <x:v>published</x:v>
      </x:c>
      <x:c r="N25" s="10" t="str">
        <x:v>internal_demo</x:v>
      </x:c>
      <x:c r="O25" s="10" t="str">
        <x:v>SRC-INTERNAL-DEMO-20260726</x:v>
      </x:c>
    </x:row>
    <x:row r="26" ht="24" hidden="0" customHeight="1">
      <x:c r="A26" s="9" t="str">
        <x:v>DB-025</x:v>
      </x:c>
      <x:c r="B26" s="9" t="str">
        <x:v>attribute_value</x:v>
      </x:c>
      <x:c r="C26" s="9" t="str">
        <x:v>attribute_key</x:v>
      </x:c>
      <x:c r="D26" s="9" t="str">
        <x:v>dynamic_characteristics</x:v>
      </x:c>
      <x:c r="E26" s="9" t="str">
        <x:v>wheel-characteristic-values</x:v>
      </x:c>
      <x:c r="F26" s="9" t="str">
        <x:v>characteristic</x:v>
      </x:c>
      <x:c r="G26" s="9" t="str">
        <x:v>relationship</x:v>
      </x:c>
      <x:c r="H26" s="16" t="b">
        <x:v>0</x:v>
      </x:c>
      <x:c r="I26" s="16" t="b">
        <x:v>1</x:v>
      </x:c>
      <x:c r="J26" s="16" t="b">
        <x:v>0</x:v>
      </x:c>
      <x:c r="K26" s="9"/>
      <x:c r="L26" s="9" t="str">
        <x:v>Проектная схема; реализация Payload является отдельным этапом.</x:v>
      </x:c>
      <x:c r="M26" s="9" t="str">
        <x:v>published</x:v>
      </x:c>
      <x:c r="N26" s="9" t="str">
        <x:v>internal_demo</x:v>
      </x:c>
      <x:c r="O26" s="9" t="str">
        <x:v>SRC-INTERNAL-DEMO-20260726</x:v>
      </x:c>
    </x:row>
    <x:row r="27" ht="24" hidden="0" customHeight="1">
      <x:c r="A27" s="10" t="str">
        <x:v>DB-026</x:v>
      </x:c>
      <x:c r="B27" s="10" t="str">
        <x:v>attribute_value</x:v>
      </x:c>
      <x:c r="C27" s="10" t="str">
        <x:v>value_*</x:v>
      </x:c>
      <x:c r="D27" s="10" t="str">
        <x:v>dynamic_characteristics</x:v>
      </x:c>
      <x:c r="E27" s="10" t="str">
        <x:v>wheel-characteristic-values</x:v>
      </x:c>
      <x:c r="F27" s="10" t="str">
        <x:v>typedValue</x:v>
      </x:c>
      <x:c r="G27" s="10" t="str">
        <x:v>group</x:v>
      </x:c>
      <x:c r="H27" s="17" t="b">
        <x:v>0</x:v>
      </x:c>
      <x:c r="I27" s="17" t="b">
        <x:v>0</x:v>
      </x:c>
      <x:c r="J27" s="17" t="b">
        <x:v>0</x:v>
      </x:c>
      <x:c r="K27" s="10"/>
      <x:c r="L27" s="10" t="str">
        <x:v>Проектная схема; реализация Payload является отдельным этапом.</x:v>
      </x:c>
      <x:c r="M27" s="10" t="str">
        <x:v>published</x:v>
      </x:c>
      <x:c r="N27" s="10" t="str">
        <x:v>internal_demo</x:v>
      </x:c>
      <x:c r="O27" s="10" t="str">
        <x:v>SRC-INTERNAL-DEMO-20260726</x:v>
      </x:c>
    </x:row>
    <x:row r="28" ht="24" hidden="0" customHeight="1">
      <x:c r="A28" s="9" t="str">
        <x:v>DB-027</x:v>
      </x:c>
      <x:c r="B28" s="9" t="str">
        <x:v>filter</x:v>
      </x:c>
      <x:c r="C28" s="9" t="str">
        <x:v>filter_key</x:v>
      </x:c>
      <x:c r="D28" s="9" t="str">
        <x:v>protected_core</x:v>
      </x:c>
      <x:c r="E28" s="9" t="str">
        <x:v>wheel-filter-configs</x:v>
      </x:c>
      <x:c r="F28" s="9" t="str">
        <x:v>key</x:v>
      </x:c>
      <x:c r="G28" s="9" t="str">
        <x:v>string</x:v>
      </x:c>
      <x:c r="H28" s="16" t="b">
        <x:v>0</x:v>
      </x:c>
      <x:c r="I28" s="16" t="b">
        <x:v>1</x:v>
      </x:c>
      <x:c r="J28" s="16" t="b">
        <x:v>1</x:v>
      </x:c>
      <x:c r="K28" s="9"/>
      <x:c r="L28" s="9" t="str">
        <x:v>Проектная схема; реализация Payload является отдельным этапом.</x:v>
      </x:c>
      <x:c r="M28" s="9" t="str">
        <x:v>published</x:v>
      </x:c>
      <x:c r="N28" s="9" t="str">
        <x:v>internal_demo</x:v>
      </x:c>
      <x:c r="O28" s="9" t="str">
        <x:v>SRC-INTERNAL-DEMO-20260726</x:v>
      </x:c>
    </x:row>
    <x:row r="29" ht="24" hidden="0" customHeight="1">
      <x:c r="A29" s="10" t="str">
        <x:v>DB-028</x:v>
      </x:c>
      <x:c r="B29" s="10" t="str">
        <x:v>filter</x:v>
      </x:c>
      <x:c r="C29" s="10" t="str">
        <x:v>enabled</x:v>
      </x:c>
      <x:c r="D29" s="10" t="str">
        <x:v>protected_core</x:v>
      </x:c>
      <x:c r="E29" s="10" t="str">
        <x:v>wheel-filter-configs</x:v>
      </x:c>
      <x:c r="F29" s="10" t="str">
        <x:v>enabled</x:v>
      </x:c>
      <x:c r="G29" s="10" t="str">
        <x:v>boolean</x:v>
      </x:c>
      <x:c r="H29" s="17" t="b">
        <x:v>0</x:v>
      </x:c>
      <x:c r="I29" s="17" t="b">
        <x:v>0</x:v>
      </x:c>
      <x:c r="J29" s="17" t="b">
        <x:v>0</x:v>
      </x:c>
      <x:c r="K29" s="10"/>
      <x:c r="L29" s="10" t="str">
        <x:v>Проектная схема; реализация Payload является отдельным этапом.</x:v>
      </x:c>
      <x:c r="M29" s="10" t="str">
        <x:v>published</x:v>
      </x:c>
      <x:c r="N29" s="10" t="str">
        <x:v>internal_demo</x:v>
      </x:c>
      <x:c r="O29" s="10" t="str">
        <x:v>SRC-INTERNAL-DEMO-20260726</x:v>
      </x:c>
    </x:row>
    <x:row r="30" ht="24" hidden="0" customHeight="1">
      <x:c r="A30" s="9" t="str">
        <x:v>DB-029</x:v>
      </x:c>
      <x:c r="B30" s="9" t="str">
        <x:v>fitment</x:v>
      </x:c>
      <x:c r="C30" s="9" t="str">
        <x:v>fitment_set_id</x:v>
      </x:c>
      <x:c r="D30" s="9" t="str">
        <x:v>protected_core</x:v>
      </x:c>
      <x:c r="E30" s="9" t="str">
        <x:v>wheel-fitments</x:v>
      </x:c>
      <x:c r="F30" s="9" t="str">
        <x:v>externalId</x:v>
      </x:c>
      <x:c r="G30" s="9" t="str">
        <x:v>string</x:v>
      </x:c>
      <x:c r="H30" s="16" t="b">
        <x:v>0</x:v>
      </x:c>
      <x:c r="I30" s="16" t="b">
        <x:v>0</x:v>
      </x:c>
      <x:c r="J30" s="16" t="b">
        <x:v>0</x:v>
      </x:c>
      <x:c r="K30" s="9"/>
      <x:c r="L30" s="9" t="str">
        <x:v>Проектная схема; реализация Payload является отдельным этапом.</x:v>
      </x:c>
      <x:c r="M30" s="9" t="str">
        <x:v>published</x:v>
      </x:c>
      <x:c r="N30" s="9" t="str">
        <x:v>internal_demo</x:v>
      </x:c>
      <x:c r="O30" s="9" t="str">
        <x:v>SRC-INTERNAL-DEMO-20260726</x:v>
      </x:c>
    </x:row>
    <x:row r="31" ht="24" hidden="0" customHeight="1">
      <x:c r="A31" s="10" t="str">
        <x:v>DB-030</x:v>
      </x:c>
      <x:c r="B31" s="10" t="str">
        <x:v>fitment</x:v>
      </x:c>
      <x:c r="C31" s="10" t="str">
        <x:v>vehicle_id</x:v>
      </x:c>
      <x:c r="D31" s="10" t="str">
        <x:v>protected_core</x:v>
      </x:c>
      <x:c r="E31" s="10" t="str">
        <x:v>vehicles</x:v>
      </x:c>
      <x:c r="F31" s="10" t="str">
        <x:v>externalId</x:v>
      </x:c>
      <x:c r="G31" s="10" t="str">
        <x:v>string</x:v>
      </x:c>
      <x:c r="H31" s="17" t="b">
        <x:v>0</x:v>
      </x:c>
      <x:c r="I31" s="17" t="b">
        <x:v>0</x:v>
      </x:c>
      <x:c r="J31" s="17" t="b">
        <x:v>0</x:v>
      </x:c>
      <x:c r="K31" s="10"/>
      <x:c r="L31" s="10" t="str">
        <x:v>Проектная схема; реализация Payload является отдельным этапом.</x:v>
      </x:c>
      <x:c r="M31" s="10" t="str">
        <x:v>published</x:v>
      </x:c>
      <x:c r="N31" s="10" t="str">
        <x:v>internal_demo</x:v>
      </x:c>
      <x:c r="O31" s="10" t="str">
        <x:v>SRC-INTERNAL-DEMO-20260726</x:v>
      </x:c>
    </x:row>
  </x:sheetData>
  <x:conditionalFormatting sqref="M2:M31">
    <x:cfRule type="containsText" dxfId="171" priority="1" operator="containsText" text="published"/>
    <x:cfRule type="containsText" dxfId="172" priority="2" operator="containsText" text="ok"/>
    <x:cfRule type="containsText" dxfId="173" priority="3" operator="containsText" text="pass"/>
    <x:cfRule type="containsText" dxfId="174" priority="4" operator="containsText" text="compatible"/>
    <x:cfRule type="containsText" dxfId="175" priority="5" operator="containsText" text="review"/>
    <x:cfRule type="containsText" dxfId="176" priority="6" operator="containsText" text="conditional"/>
    <x:cfRule type="containsText" dxfId="177" priority="7" operator="containsText" text="error"/>
    <x:cfRule type="containsText" dxfId="178" priority="8" operator="containsText" text="fail"/>
    <x:cfRule type="containsText" dxfId="179" priority="9" operator="containsText" text="archived"/>
  </x:conditionalFormatting>
  <x:dataValidations count="1">
    <x:dataValidation type="list" sqref="M2:M31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31a79900c04fc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12" hidden="0" customWidth="1"/>
    <x:col min="5" max="5" width="12" hidden="0" customWidth="1"/>
    <x:col min="6" max="6" width="18" hidden="0" customWidth="1"/>
    <x:col min="7" max="7" width="34" hidden="0" customWidth="1"/>
    <x:col min="8" max="8" width="34" hidden="0" customWidth="1"/>
    <x:col min="9" max="9" width="12" hidden="0" customWidth="1"/>
    <x:col min="10" max="10" width="20" hidden="0" customWidth="1"/>
    <x:col min="11" max="11" width="18" hidden="0" customWidth="1"/>
    <x:col min="12" max="12" width="18" hidden="0" customWidth="1"/>
    <x:col min="13" max="13" width="26" hidden="0" customWidth="1"/>
  </x:cols>
  <x:sheetData>
    <x:row r="1" ht="30" customHeight="1">
      <x:c r="A1" s="8" t="str">
        <x:v>issue_id</x:v>
      </x:c>
      <x:c r="B1" s="8" t="str">
        <x:v>entity_scope</x:v>
      </x:c>
      <x:c r="C1" s="8" t="str">
        <x:v>entity_id</x:v>
      </x:c>
      <x:c r="D1" s="8" t="str">
        <x:v>rule_key</x:v>
      </x:c>
      <x:c r="E1" s="8" t="str">
        <x:v>severity</x:v>
      </x:c>
      <x:c r="F1" s="8" t="str">
        <x:v>status</x:v>
      </x:c>
      <x:c r="G1" s="8" t="str">
        <x:v>issue_ru</x:v>
      </x:c>
      <x:c r="H1" s="8" t="str">
        <x:v>resolution_ru</x:v>
      </x:c>
      <x:c r="I1" s="8" t="str">
        <x:v>owner</x:v>
      </x:c>
      <x:c r="J1" s="8" t="str">
        <x:v>blocks_publication</x:v>
      </x:c>
      <x:c r="K1" s="8" t="str">
        <x:v>detected_at</x:v>
      </x:c>
      <x:c r="L1" s="8" t="str">
        <x:v>resolved_at</x:v>
      </x:c>
      <x:c r="M1" s="8" t="str">
        <x:v>source_id</x:v>
      </x:c>
    </x:row>
    <x:row r="2" ht="36" hidden="0" customHeight="1">
      <x:c r="A2" s="9" t="str">
        <x:v>QA-WHEEL-001</x:v>
      </x:c>
      <x:c r="B2" s="9" t="str">
        <x:v>workbook</x:v>
      </x:c>
      <x:c r="C2" s="9" t="str">
        <x:v>BIZON-FORGED-WHEELS-SSOT</x:v>
      </x:c>
      <x:c r="D2" s="9" t="str">
        <x:v>internal_demo_provenance</x:v>
      </x:c>
      <x:c r="E2" s="9" t="str">
        <x:v>info</x:v>
      </x:c>
      <x:c r="F2" s="9" t="str">
        <x:v>accepted</x:v>
      </x:c>
      <x:c r="G2" s="9" t="str">
        <x:v>Технические значения и применяемость являются внутренними демонстрационными данными.</x:v>
      </x:c>
      <x:c r="H2" s="9" t="str">
        <x:v>Владелец разрешил публикацию; заменить фактическими данными на следующей стадии.</x:v>
      </x:c>
      <x:c r="I2" s="9" t="str">
        <x:v>BIZON</x:v>
      </x:c>
      <x:c r="J2" s="16" t="b">
        <x:v>0</x:v>
      </x:c>
      <x:c r="K2" s="21" t="n">
        <x:v>46229</x:v>
      </x:c>
      <x:c r="L2" s="21" t="n">
        <x:v>46229</x:v>
      </x:c>
      <x:c r="M2" s="9" t="str">
        <x:v>SRC-INTERNAL-DEMO-20260726</x:v>
      </x:c>
    </x:row>
    <x:row r="3" ht="36" hidden="0" customHeight="1">
      <x:c r="A3" s="10" t="str">
        <x:v>QA-WHEEL-002</x:v>
      </x:c>
      <x:c r="B3" s="10" t="str">
        <x:v>vehicle</x:v>
      </x:c>
      <x:c r="C3" s="10" t="str">
        <x:v>ALL-DEMO-VEHICLES</x:v>
      </x:c>
      <x:c r="D3" s="10" t="str">
        <x:v>vehicle_source_future_replacement</x:v>
      </x:c>
      <x:c r="E3" s="10" t="str">
        <x:v>info</x:v>
      </x:c>
      <x:c r="F3" s="10" t="str">
        <x:v>accepted</x:v>
      </x:c>
      <x:c r="G3" s="10" t="str">
        <x:v>Матрица автомобилей создана для проверки архитектуры.</x:v>
      </x:c>
      <x:c r="H3" s="10" t="str">
        <x:v>Сменный источник предусмотрен через SOURCE_MAPPING и стабильные ID.</x:v>
      </x:c>
      <x:c r="I3" s="10" t="str">
        <x:v>BIZON</x:v>
      </x:c>
      <x:c r="J3" s="17" t="b">
        <x:v>0</x:v>
      </x:c>
      <x:c r="K3" s="22" t="n">
        <x:v>46229</x:v>
      </x:c>
      <x:c r="L3" s="22" t="n">
        <x:v>46229</x:v>
      </x:c>
      <x:c r="M3" s="10" t="str">
        <x:v>SRC-INTERNAL-DEMO-20260726</x:v>
      </x:c>
    </x:row>
    <x:row r="4" ht="24" hidden="0" customHeight="1">
      <x:c r="A4" s="9" t="str">
        <x:v>QA-WHEEL-003</x:v>
      </x:c>
      <x:c r="B4" s="9" t="str">
        <x:v>payload</x:v>
      </x:c>
      <x:c r="C4" s="9" t="str">
        <x:v>FUTURE-PAYLOAD-MIGRATION</x:v>
      </x:c>
      <x:c r="D4" s="9" t="str">
        <x:v>payload_not_implemented</x:v>
      </x:c>
      <x:c r="E4" s="9" t="str">
        <x:v>info</x:v>
      </x:c>
      <x:c r="F4" s="9" t="str">
        <x:v>open</x:v>
      </x:c>
      <x:c r="G4" s="9" t="str">
        <x:v>Динамическая система характеристик Payload ещё не реализована.</x:v>
      </x:c>
      <x:c r="H4" s="9" t="str">
        <x:v>Выполнить отдельным этапом после утверждения Excel SSOT.</x:v>
      </x:c>
      <x:c r="I4" s="9" t="str">
        <x:v>BIZON</x:v>
      </x:c>
      <x:c r="J4" s="16" t="b">
        <x:v>0</x:v>
      </x:c>
      <x:c r="K4" s="21" t="n">
        <x:v>46229</x:v>
      </x:c>
      <x:c r="L4" s="21"/>
      <x:c r="M4" s="9" t="str">
        <x:v>SRC-INTERNAL-DEMO-20260726</x:v>
      </x:c>
    </x:row>
  </x:sheetData>
  <x:conditionalFormatting sqref="F2:F4">
    <x:cfRule type="containsText" dxfId="180" priority="1" operator="containsText" text="published"/>
    <x:cfRule type="containsText" dxfId="181" priority="2" operator="containsText" text="ok"/>
    <x:cfRule type="containsText" dxfId="182" priority="3" operator="containsText" text="pass"/>
    <x:cfRule type="containsText" dxfId="183" priority="4" operator="containsText" text="compatible"/>
    <x:cfRule type="containsText" dxfId="184" priority="5" operator="containsText" text="review"/>
    <x:cfRule type="containsText" dxfId="185" priority="6" operator="containsText" text="conditional"/>
    <x:cfRule type="containsText" dxfId="186" priority="7" operator="containsText" text="error"/>
    <x:cfRule type="containsText" dxfId="187" priority="8" operator="containsText" text="fail"/>
    <x:cfRule type="containsText" dxfId="188" priority="9" operator="containsText" text="archived"/>
  </x:conditionalFormatting>
  <x:pageMargins left="0.7" right="0.7" top="0.75" bottom="0.75" header="0.3" footer="0.3"/>
  <x:tableParts count="1">
    <x:tablePart xmlns:r="http://schemas.openxmlformats.org/officeDocument/2006/relationships" r:id="R14a52a6698284ad8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12" hidden="0" customWidth="1"/>
    <x:col min="5" max="5" width="34" hidden="0" customWidth="1"/>
    <x:col min="6" max="6" width="34" hidden="0" customWidth="1"/>
    <x:col min="7" max="7" width="20" hidden="0" customWidth="1"/>
    <x:col min="8" max="8" width="12" hidden="0" customWidth="1"/>
    <x:col min="9" max="9" width="18" hidden="0" customWidth="1"/>
    <x:col min="10" max="10" width="18" hidden="0" customWidth="1"/>
    <x:col min="11" max="11" width="26" hidden="0" customWidth="1"/>
  </x:cols>
  <x:sheetData>
    <x:row r="1" ht="30" customHeight="1">
      <x:c r="A1" s="8" t="str">
        <x:v>rule_id</x:v>
      </x:c>
      <x:c r="B1" s="8" t="str">
        <x:v>rule_key</x:v>
      </x:c>
      <x:c r="C1" s="8" t="str">
        <x:v>entity_scope</x:v>
      </x:c>
      <x:c r="D1" s="8" t="str">
        <x:v>severity</x:v>
      </x:c>
      <x:c r="E1" s="8" t="str">
        <x:v>description_ru</x:v>
      </x:c>
      <x:c r="F1" s="8" t="str">
        <x:v>validation_logic</x:v>
      </x:c>
      <x:c r="G1" s="8" t="str">
        <x:v>blocks_publication</x:v>
      </x:c>
      <x:c r="H1" s="8" t="str">
        <x:v>enabled</x:v>
      </x:c>
      <x:c r="I1" s="8" t="str">
        <x:v>lifecycle_status</x:v>
      </x:c>
      <x:c r="J1" s="8" t="str">
        <x:v>source_type</x:v>
      </x:c>
      <x:c r="K1" s="8" t="str">
        <x:v>source_id</x:v>
      </x:c>
    </x:row>
    <x:row r="2" ht="24" hidden="0" customHeight="1">
      <x:c r="A2" s="9" t="str">
        <x:v>VR-001</x:v>
      </x:c>
      <x:c r="B2" s="9" t="str">
        <x:v>unique_model_id</x:v>
      </x:c>
      <x:c r="C2" s="9" t="str">
        <x:v>model</x:v>
      </x:c>
      <x:c r="D2" s="9" t="str">
        <x:v>critical</x:v>
      </x:c>
      <x:c r="E2" s="9" t="str">
        <x:v>model_id уникален</x:v>
      </x:c>
      <x:c r="F2" s="9" t="str">
        <x:v>COUNTIF(model_id)=1</x:v>
      </x:c>
      <x:c r="G2" s="16" t="b">
        <x:v>1</x:v>
      </x:c>
      <x:c r="H2" s="16" t="b">
        <x:v>1</x:v>
      </x:c>
      <x:c r="I2" s="9" t="str">
        <x:v>published</x:v>
      </x:c>
      <x:c r="J2" s="9" t="str">
        <x:v>internal_demo</x:v>
      </x:c>
      <x:c r="K2" s="9" t="str">
        <x:v>SRC-INTERNAL-DEMO-20260726</x:v>
      </x:c>
    </x:row>
    <x:row r="3" ht="24" hidden="0" customHeight="1">
      <x:c r="A3" s="10" t="str">
        <x:v>VR-002</x:v>
      </x:c>
      <x:c r="B3" s="10" t="str">
        <x:v>unique_variant_id</x:v>
      </x:c>
      <x:c r="C3" s="10" t="str">
        <x:v>variant</x:v>
      </x:c>
      <x:c r="D3" s="10" t="str">
        <x:v>critical</x:v>
      </x:c>
      <x:c r="E3" s="10" t="str">
        <x:v>variant_id уникален</x:v>
      </x:c>
      <x:c r="F3" s="10" t="str">
        <x:v>COUNTIF(variant_id)=1</x:v>
      </x:c>
      <x:c r="G3" s="17" t="b">
        <x:v>1</x:v>
      </x:c>
      <x:c r="H3" s="17" t="b">
        <x:v>1</x:v>
      </x:c>
      <x:c r="I3" s="10" t="str">
        <x:v>published</x:v>
      </x:c>
      <x:c r="J3" s="10" t="str">
        <x:v>internal_demo</x:v>
      </x:c>
      <x:c r="K3" s="10" t="str">
        <x:v>SRC-INTERNAL-DEMO-20260726</x:v>
      </x:c>
    </x:row>
    <x:row r="4" ht="15" hidden="0" customHeight="1">
      <x:c r="A4" s="9" t="str">
        <x:v>VR-003</x:v>
      </x:c>
      <x:c r="B4" s="9" t="str">
        <x:v>unique_sku</x:v>
      </x:c>
      <x:c r="C4" s="9" t="str">
        <x:v>variant</x:v>
      </x:c>
      <x:c r="D4" s="9" t="str">
        <x:v>critical</x:v>
      </x:c>
      <x:c r="E4" s="9" t="str">
        <x:v>SKU уникален</x:v>
      </x:c>
      <x:c r="F4" s="9" t="str">
        <x:v>COUNTIF(sku)=1</x:v>
      </x:c>
      <x:c r="G4" s="16" t="b">
        <x:v>1</x:v>
      </x:c>
      <x:c r="H4" s="16" t="b">
        <x:v>1</x:v>
      </x:c>
      <x:c r="I4" s="9" t="str">
        <x:v>published</x:v>
      </x:c>
      <x:c r="J4" s="9" t="str">
        <x:v>internal_demo</x:v>
      </x:c>
      <x:c r="K4" s="9" t="str">
        <x:v>SRC-INTERNAL-DEMO-20260726</x:v>
      </x:c>
    </x:row>
    <x:row r="5" ht="24" hidden="0" customHeight="1">
      <x:c r="A5" s="10" t="str">
        <x:v>VR-004</x:v>
      </x:c>
      <x:c r="B5" s="10" t="str">
        <x:v>variant_model_exists</x:v>
      </x:c>
      <x:c r="C5" s="10" t="str">
        <x:v>variant</x:v>
      </x:c>
      <x:c r="D5" s="10" t="str">
        <x:v>critical</x:v>
      </x:c>
      <x:c r="E5" s="10" t="str">
        <x:v>model_id существует</x:v>
      </x:c>
      <x:c r="F5" s="10" t="str">
        <x:v>COUNTIF(models.model_id)=1</x:v>
      </x:c>
      <x:c r="G5" s="17" t="b">
        <x:v>1</x:v>
      </x:c>
      <x:c r="H5" s="17" t="b">
        <x:v>1</x:v>
      </x:c>
      <x:c r="I5" s="10" t="str">
        <x:v>published</x:v>
      </x:c>
      <x:c r="J5" s="10" t="str">
        <x:v>internal_demo</x:v>
      </x:c>
      <x:c r="K5" s="10" t="str">
        <x:v>SRC-INTERNAL-DEMO-20260726</x:v>
      </x:c>
    </x:row>
    <x:row r="6" ht="24" hidden="0" customHeight="1">
      <x:c r="A6" s="9" t="str">
        <x:v>VR-005</x:v>
      </x:c>
      <x:c r="B6" s="9" t="str">
        <x:v>published_core_complete</x:v>
      </x:c>
      <x:c r="C6" s="9" t="str">
        <x:v>variant</x:v>
      </x:c>
      <x:c r="D6" s="9" t="str">
        <x:v>critical</x:v>
      </x:c>
      <x:c r="E6" s="9" t="str">
        <x:v>Опубликованное ядро заполнено</x:v>
      </x:c>
      <x:c r="F6" s="9" t="str">
        <x:v>required core fields are nonblank</x:v>
      </x:c>
      <x:c r="G6" s="16" t="b">
        <x:v>1</x:v>
      </x:c>
      <x:c r="H6" s="16" t="b">
        <x:v>1</x:v>
      </x:c>
      <x:c r="I6" s="9" t="str">
        <x:v>published</x:v>
      </x:c>
      <x:c r="J6" s="9" t="str">
        <x:v>internal_demo</x:v>
      </x:c>
      <x:c r="K6" s="9" t="str">
        <x:v>SRC-INTERNAL-DEMO-20260726</x:v>
      </x:c>
    </x:row>
    <x:row r="7" ht="24" hidden="0" customHeight="1">
      <x:c r="A7" s="10" t="str">
        <x:v>VR-006</x:v>
      </x:c>
      <x:c r="B7" s="10" t="str">
        <x:v>bolt_pattern_complete</x:v>
      </x:c>
      <x:c r="C7" s="10" t="str">
        <x:v>variant</x:v>
      </x:c>
      <x:c r="D7" s="10" t="str">
        <x:v>critical</x:v>
      </x:c>
      <x:c r="E7" s="10" t="str">
        <x:v>PCD структурирован</x:v>
      </x:c>
      <x:c r="F7" s="10" t="str">
        <x:v>holes and pcd are paired</x:v>
      </x:c>
      <x:c r="G7" s="17" t="b">
        <x:v>1</x:v>
      </x:c>
      <x:c r="H7" s="17" t="b">
        <x:v>1</x:v>
      </x:c>
      <x:c r="I7" s="10" t="str">
        <x:v>published</x:v>
      </x:c>
      <x:c r="J7" s="10" t="str">
        <x:v>internal_demo</x:v>
      </x:c>
      <x:c r="K7" s="10" t="str">
        <x:v>SRC-INTERNAL-DEMO-20260726</x:v>
      </x:c>
    </x:row>
    <x:row r="8" ht="15" hidden="0" customHeight="1">
      <x:c r="A8" s="9" t="str">
        <x:v>VR-007</x:v>
      </x:c>
      <x:c r="B8" s="9" t="str">
        <x:v>platform_exists</x:v>
      </x:c>
      <x:c r="C8" s="9" t="str">
        <x:v>variant</x:v>
      </x:c>
      <x:c r="D8" s="9" t="str">
        <x:v>critical</x:v>
      </x:c>
      <x:c r="E8" s="9" t="str">
        <x:v>Производственная платформа существует</x:v>
      </x:c>
      <x:c r="F8" s="9" t="str">
        <x:v>COUNTIF(platform_id)=1</x:v>
      </x:c>
      <x:c r="G8" s="16" t="b">
        <x:v>1</x:v>
      </x:c>
      <x:c r="H8" s="16" t="b">
        <x:v>1</x:v>
      </x:c>
      <x:c r="I8" s="9" t="str">
        <x:v>published</x:v>
      </x:c>
      <x:c r="J8" s="9" t="str">
        <x:v>internal_demo</x:v>
      </x:c>
      <x:c r="K8" s="9" t="str">
        <x:v>SRC-INTERNAL-DEMO-20260726</x:v>
      </x:c>
    </x:row>
    <x:row r="9" ht="24" hidden="0" customHeight="1">
      <x:c r="A9" s="10" t="str">
        <x:v>VR-008</x:v>
      </x:c>
      <x:c r="B9" s="10" t="str">
        <x:v>platform_et_range</x:v>
      </x:c>
      <x:c r="C9" s="10" t="str">
        <x:v>variant</x:v>
      </x:c>
      <x:c r="D9" s="10" t="str">
        <x:v>critical</x:v>
      </x:c>
      <x:c r="E9" s="10" t="str">
        <x:v>ET входит в диапазон платформы</x:v>
      </x:c>
      <x:c r="F9" s="10" t="str">
        <x:v>min_et &lt;= ET &lt;= max_et</x:v>
      </x:c>
      <x:c r="G9" s="17" t="b">
        <x:v>1</x:v>
      </x:c>
      <x:c r="H9" s="17" t="b">
        <x:v>1</x:v>
      </x:c>
      <x:c r="I9" s="10" t="str">
        <x:v>published</x:v>
      </x:c>
      <x:c r="J9" s="10" t="str">
        <x:v>internal_demo</x:v>
      </x:c>
      <x:c r="K9" s="10" t="str">
        <x:v>SRC-INTERNAL-DEMO-20260726</x:v>
      </x:c>
    </x:row>
    <x:row r="10" ht="24" hidden="0" customHeight="1">
      <x:c r="A10" s="9" t="str">
        <x:v>VR-009</x:v>
      </x:c>
      <x:c r="B10" s="9" t="str">
        <x:v>attribute_definition_exists</x:v>
      </x:c>
      <x:c r="C10" s="9" t="str">
        <x:v>attribute_value</x:v>
      </x:c>
      <x:c r="D10" s="9" t="str">
        <x:v>critical</x:v>
      </x:c>
      <x:c r="E10" s="9" t="str">
        <x:v>Характеристика существует</x:v>
      </x:c>
      <x:c r="F10" s="9" t="str">
        <x:v>COUNTIF(attribute_key)=1</x:v>
      </x:c>
      <x:c r="G10" s="16" t="b">
        <x:v>1</x:v>
      </x:c>
      <x:c r="H10" s="16" t="b">
        <x:v>1</x:v>
      </x:c>
      <x:c r="I10" s="9" t="str">
        <x:v>published</x:v>
      </x:c>
      <x:c r="J10" s="9" t="str">
        <x:v>internal_demo</x:v>
      </x:c>
      <x:c r="K10" s="9" t="str">
        <x:v>SRC-INTERNAL-DEMO-20260726</x:v>
      </x:c>
    </x:row>
    <x:row r="11" ht="24" hidden="0" customHeight="1">
      <x:c r="A11" s="10" t="str">
        <x:v>VR-010</x:v>
      </x:c>
      <x:c r="B11" s="10" t="str">
        <x:v>attribute_typed_value</x:v>
      </x:c>
      <x:c r="C11" s="10" t="str">
        <x:v>attribute_value</x:v>
      </x:c>
      <x:c r="D11" s="10" t="str">
        <x:v>critical</x:v>
      </x:c>
      <x:c r="E11" s="10" t="str">
        <x:v>Заполнен один типизированный канал</x:v>
      </x:c>
      <x:c r="F11" s="10" t="str">
        <x:v>nonblank value channels = 1</x:v>
      </x:c>
      <x:c r="G11" s="17" t="b">
        <x:v>1</x:v>
      </x:c>
      <x:c r="H11" s="17" t="b">
        <x:v>1</x:v>
      </x:c>
      <x:c r="I11" s="10" t="str">
        <x:v>published</x:v>
      </x:c>
      <x:c r="J11" s="10" t="str">
        <x:v>internal_demo</x:v>
      </x:c>
      <x:c r="K11" s="10" t="str">
        <x:v>SRC-INTERNAL-DEMO-20260726</x:v>
      </x:c>
    </x:row>
    <x:row r="12" ht="24" hidden="0" customHeight="1">
      <x:c r="A12" s="9" t="str">
        <x:v>VR-011</x:v>
      </x:c>
      <x:c r="B12" s="9" t="str">
        <x:v>vehicle_axle_load</x:v>
      </x:c>
      <x:c r="C12" s="9" t="str">
        <x:v>fitment_axle</x:v>
      </x:c>
      <x:c r="D12" s="9" t="str">
        <x:v>critical</x:v>
      </x:c>
      <x:c r="E12" s="9" t="str">
        <x:v>Нагрузка диска достаточна</x:v>
      </x:c>
      <x:c r="F12" s="9" t="str">
        <x:v>wheel_load &gt;= axle_load/2</x:v>
      </x:c>
      <x:c r="G12" s="16" t="b">
        <x:v>1</x:v>
      </x:c>
      <x:c r="H12" s="16" t="b">
        <x:v>1</x:v>
      </x:c>
      <x:c r="I12" s="9" t="str">
        <x:v>published</x:v>
      </x:c>
      <x:c r="J12" s="9" t="str">
        <x:v>internal_demo</x:v>
      </x:c>
      <x:c r="K12" s="9" t="str">
        <x:v>SRC-INTERNAL-DEMO-20260726</x:v>
      </x:c>
    </x:row>
    <x:row r="13" ht="24" hidden="0" customHeight="1">
      <x:c r="A13" s="10" t="str">
        <x:v>VR-012</x:v>
      </x:c>
      <x:c r="B13" s="10" t="str">
        <x:v>fitment_two_axles</x:v>
      </x:c>
      <x:c r="C13" s="10" t="str">
        <x:v>fitment</x:v>
      </x:c>
      <x:c r="D13" s="10" t="str">
        <x:v>critical</x:v>
      </x:c>
      <x:c r="E13" s="10" t="str">
        <x:v>Комплект содержит переднюю и заднюю оси</x:v>
      </x:c>
      <x:c r="F13" s="10" t="str">
        <x:v>COUNTIF(fitment_set_id)=2</x:v>
      </x:c>
      <x:c r="G13" s="17" t="b">
        <x:v>1</x:v>
      </x:c>
      <x:c r="H13" s="17" t="b">
        <x:v>1</x:v>
      </x:c>
      <x:c r="I13" s="10" t="str">
        <x:v>published</x:v>
      </x:c>
      <x:c r="J13" s="10" t="str">
        <x:v>internal_demo</x:v>
      </x:c>
      <x:c r="K13" s="10" t="str">
        <x:v>SRC-INTERNAL-DEMO-20260726</x:v>
      </x:c>
    </x:row>
    <x:row r="14" ht="24" hidden="0" customHeight="1">
      <x:c r="A14" s="9" t="str">
        <x:v>VR-013</x:v>
      </x:c>
      <x:c r="B14" s="9" t="str">
        <x:v>brake_status_present</x:v>
      </x:c>
      <x:c r="C14" s="9" t="str">
        <x:v>fitment</x:v>
      </x:c>
      <x:c r="D14" s="9" t="str">
        <x:v>critical</x:v>
      </x:c>
      <x:c r="E14" s="9" t="str">
        <x:v>Статус тормозного зазора заполнен</x:v>
      </x:c>
      <x:c r="F14" s="9" t="str">
        <x:v>brake_clearance_status nonblank</x:v>
      </x:c>
      <x:c r="G14" s="16" t="b">
        <x:v>1</x:v>
      </x:c>
      <x:c r="H14" s="16" t="b">
        <x:v>1</x:v>
      </x:c>
      <x:c r="I14" s="9" t="str">
        <x:v>published</x:v>
      </x:c>
      <x:c r="J14" s="9" t="str">
        <x:v>internal_demo</x:v>
      </x:c>
      <x:c r="K14" s="9" t="str">
        <x:v>SRC-INTERNAL-DEMO-20260726</x:v>
      </x:c>
    </x:row>
    <x:row r="15" ht="24" hidden="0" customHeight="1">
      <x:c r="A15" s="10" t="str">
        <x:v>VR-014</x:v>
      </x:c>
      <x:c r="B15" s="10" t="str">
        <x:v>filter_source_exists</x:v>
      </x:c>
      <x:c r="C15" s="10" t="str">
        <x:v>filter</x:v>
      </x:c>
      <x:c r="D15" s="10" t="str">
        <x:v>critical</x:v>
      </x:c>
      <x:c r="E15" s="10" t="str">
        <x:v>Источник фильтра существует</x:v>
      </x:c>
      <x:c r="F15" s="10" t="str">
        <x:v>core field or enabled attribute</x:v>
      </x:c>
      <x:c r="G15" s="17" t="b">
        <x:v>1</x:v>
      </x:c>
      <x:c r="H15" s="17" t="b">
        <x:v>1</x:v>
      </x:c>
      <x:c r="I15" s="10" t="str">
        <x:v>published</x:v>
      </x:c>
      <x:c r="J15" s="10" t="str">
        <x:v>internal_demo</x:v>
      </x:c>
      <x:c r="K15" s="10" t="str">
        <x:v>SRC-INTERNAL-DEMO-20260726</x:v>
      </x:c>
    </x:row>
    <x:row r="16" ht="24" hidden="0" customHeight="1">
      <x:c r="A16" s="9" t="str">
        <x:v>VR-015</x:v>
      </x:c>
      <x:c r="B16" s="9" t="str">
        <x:v>published_not_blocked</x:v>
      </x:c>
      <x:c r="C16" s="9" t="str">
        <x:v>cms_import</x:v>
      </x:c>
      <x:c r="D16" s="9" t="str">
        <x:v>critical</x:v>
      </x:c>
      <x:c r="E16" s="9" t="str">
        <x:v>Импорт содержит только допустимые строки</x:v>
      </x:c>
      <x:c r="F16" s="9" t="str">
        <x:v>published AND blocks_publication=false</x:v>
      </x:c>
      <x:c r="G16" s="16" t="b">
        <x:v>1</x:v>
      </x:c>
      <x:c r="H16" s="16" t="b">
        <x:v>1</x:v>
      </x:c>
      <x:c r="I16" s="9" t="str">
        <x:v>published</x:v>
      </x:c>
      <x:c r="J16" s="9" t="str">
        <x:v>internal_demo</x:v>
      </x:c>
      <x:c r="K16" s="9" t="str">
        <x:v>SRC-INTERNAL-DEMO-20260726</x:v>
      </x:c>
    </x:row>
  </x:sheetData>
  <x:conditionalFormatting sqref="I2:I16">
    <x:cfRule type="containsText" dxfId="189" priority="1" operator="containsText" text="published"/>
    <x:cfRule type="containsText" dxfId="190" priority="2" operator="containsText" text="ok"/>
    <x:cfRule type="containsText" dxfId="191" priority="3" operator="containsText" text="pass"/>
    <x:cfRule type="containsText" dxfId="192" priority="4" operator="containsText" text="compatible"/>
    <x:cfRule type="containsText" dxfId="193" priority="5" operator="containsText" text="review"/>
    <x:cfRule type="containsText" dxfId="194" priority="6" operator="containsText" text="conditional"/>
    <x:cfRule type="containsText" dxfId="195" priority="7" operator="containsText" text="error"/>
    <x:cfRule type="containsText" dxfId="196" priority="8" operator="containsText" text="fail"/>
    <x:cfRule type="containsText" dxfId="197" priority="9" operator="containsText" text="archived"/>
  </x:conditionalFormatting>
  <x:dataValidations count="1">
    <x:dataValidation type="list" sqref="I2:I16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0272e2a51041d2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23" hidden="0" customWidth="1"/>
    <x:col min="5" max="5" width="26" hidden="0" customWidth="1"/>
    <x:col min="6" max="6" width="23" hidden="0" customWidth="1"/>
    <x:col min="7" max="7" width="18" hidden="0" customWidth="1"/>
    <x:col min="8" max="8" width="18" hidden="0" customWidth="1"/>
    <x:col min="9" max="9" width="14" hidden="0" customWidth="1"/>
    <x:col min="10" max="10" width="15" hidden="0" customWidth="1"/>
    <x:col min="11" max="11" width="15" hidden="0" customWidth="1"/>
    <x:col min="12" max="12" width="16" hidden="0" customWidth="1"/>
    <x:col min="13" max="13" width="13" hidden="0" customWidth="1"/>
    <x:col min="14" max="14" width="12" hidden="0" customWidth="1"/>
    <x:col min="15" max="15" width="14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16" hidden="0" customWidth="1"/>
    <x:col min="21" max="21" width="13" hidden="0" customWidth="1"/>
    <x:col min="22" max="22" width="18" hidden="0" customWidth="1"/>
    <x:col min="23" max="23" width="18" hidden="0" customWidth="1"/>
    <x:col min="24" max="24" width="14" hidden="0" customWidth="1"/>
    <x:col min="25" max="25" width="12" hidden="0" customWidth="1"/>
    <x:col min="26" max="26" width="18" hidden="0" customWidth="1"/>
    <x:col min="27" max="27" width="12" hidden="0" customWidth="1"/>
    <x:col min="28" max="28" width="18" hidden="0" customWidth="1"/>
    <x:col min="29" max="29" width="14" hidden="0" customWidth="1"/>
  </x:cols>
  <x:sheetData>
    <x:row r="1" ht="30" customHeight="1">
      <x:c r="A1" s="8" t="str">
        <x:v>variant_id</x:v>
      </x:c>
      <x:c r="B1" s="8" t="str">
        <x:v>model_id</x:v>
      </x:c>
      <x:c r="C1" s="8" t="str">
        <x:v>model_slug</x:v>
      </x:c>
      <x:c r="D1" s="8" t="str">
        <x:v>model_name_ru</x:v>
      </x:c>
      <x:c r="E1" s="8" t="str">
        <x:v>sku</x:v>
      </x:c>
      <x:c r="F1" s="8" t="str">
        <x:v>variant_name_ru</x:v>
      </x:c>
      <x:c r="G1" s="8" t="str">
        <x:v>lifecycle_status</x:v>
      </x:c>
      <x:c r="H1" s="8" t="str">
        <x:v>sale_mode</x:v>
      </x:c>
      <x:c r="I1" s="8" t="str">
        <x:v>availability</x:v>
      </x:c>
      <x:c r="J1" s="18" t="str">
        <x:v>price_rub</x:v>
      </x:c>
      <x:c r="K1" s="8" t="str">
        <x:v>price_on_request</x:v>
      </x:c>
      <x:c r="L1" s="18" t="str">
        <x:v>lead_time_days</x:v>
      </x:c>
      <x:c r="M1" s="18" t="str">
        <x:v>diameter_in</x:v>
      </x:c>
      <x:c r="N1" s="18" t="str">
        <x:v>width_in</x:v>
      </x:c>
      <x:c r="O1" s="18" t="str">
        <x:v>offset_et_mm</x:v>
      </x:c>
      <x:c r="P1" s="8" t="str">
        <x:v>bolt_pattern_1_holes</x:v>
      </x:c>
      <x:c r="Q1" s="18" t="str">
        <x:v>bolt_pattern_1_pcd_mm</x:v>
      </x:c>
      <x:c r="R1" s="8" t="str">
        <x:v>bolt_pattern_2_holes</x:v>
      </x:c>
      <x:c r="S1" s="18" t="str">
        <x:v>bolt_pattern_2_pcd_mm</x:v>
      </x:c>
      <x:c r="T1" s="18" t="str">
        <x:v>center_bore_mm</x:v>
      </x:c>
      <x:c r="U1" s="18" t="str">
        <x:v>max_load_kg</x:v>
      </x:c>
      <x:c r="V1" s="8" t="str">
        <x:v>construction_type</x:v>
      </x:c>
      <x:c r="W1" s="8" t="str">
        <x:v>beadlock_type</x:v>
      </x:c>
      <x:c r="X1" s="8" t="str">
        <x:v>face_profile</x:v>
      </x:c>
      <x:c r="Y1" s="18" t="str">
        <x:v>weight_kg</x:v>
      </x:c>
      <x:c r="Z1" s="8" t="str">
        <x:v>finish_type</x:v>
      </x:c>
      <x:c r="AA1" s="8" t="str">
        <x:v>color_key</x:v>
      </x:c>
      <x:c r="AB1" s="8" t="str">
        <x:v>source_type</x:v>
      </x:c>
      <x:c r="AC1" s="8" t="str">
        <x:v>import_ready</x:v>
      </x:c>
    </x:row>
    <x:row r="2" ht="15" hidden="0" customHeight="1">
      <x:c r="A2" s="9" t="str">
        <x:f>'02_WHEEL_VARIANTS'!A2</x:f>
        <x:v>BIZON-WHEEL-VAR-ATLAS-1785-ET0-6X1397</x:v>
      </x:c>
      <x:c r="B2" s="9" t="str">
        <x:f>'02_WHEEL_VARIANTS'!B2</x:f>
        <x:v>BIZON-WHEEL-MODEL-ATLAS</x:v>
      </x:c>
      <x:c r="C2" s="9" t="str">
        <x:f>'01_WHEEL_MODELS'!C2</x:f>
        <x:v>atlas</x:v>
      </x:c>
      <x:c r="D2" s="9" t="str">
        <x:f>'01_WHEEL_MODELS'!D2</x:f>
        <x:v>BIZON Atlas</x:v>
      </x:c>
      <x:c r="E2" s="9" t="str">
        <x:f>'02_WHEEL_VARIANTS'!C2</x:f>
        <x:v>BIZ-ATLAS-1785-ET0-6X1397</x:v>
      </x:c>
      <x:c r="F2" s="9" t="str">
        <x:f>'02_WHEEL_VARIANTS'!D2</x:f>
        <x:v>BIZON Atlas 17×8.5 ET0</x:v>
      </x:c>
      <x:c r="G2" s="9" t="str">
        <x:f>'02_WHEEL_VARIANTS'!F2</x:f>
        <x:v>published</x:v>
      </x:c>
      <x:c r="H2" s="9" t="str">
        <x:f>'02_WHEEL_VARIANTS'!E2</x:f>
        <x:v>stock</x:v>
      </x:c>
      <x:c r="I2" s="9" t="b">
        <x:f>'02_WHEEL_VARIANTS'!G2</x:f>
        <x:v>1</x:v>
      </x:c>
      <x:c r="J2" s="23" t="n">
        <x:f>IF('02_WHEEL_VARIANTS'!H2="","",'02_WHEEL_VARIANTS'!H2)</x:f>
        <x:v>128000</x:v>
      </x:c>
      <x:c r="K2" s="9" t="b">
        <x:f>'02_WHEEL_VARIANTS'!I2</x:f>
        <x:v>0</x:v>
      </x:c>
      <x:c r="L2" s="19" t="n">
        <x:f>'02_WHEEL_VARIANTS'!J2</x:f>
        <x:v>5</x:v>
      </x:c>
      <x:c r="M2" s="25" t="n">
        <x:f>'02_WHEEL_VARIANTS'!K2</x:f>
        <x:v>17</x:v>
      </x:c>
      <x:c r="N2" s="25" t="n">
        <x:f>'02_WHEEL_VARIANTS'!L2</x:f>
        <x:v>8.5</x:v>
      </x:c>
      <x:c r="O2" s="27" t="n">
        <x:f>'02_WHEEL_VARIANTS'!M2</x:f>
        <x:v>0</x:v>
      </x:c>
      <x:c r="P2" s="9" t="n">
        <x:f>'02_WHEEL_VARIANTS'!N2</x:f>
        <x:v>6</x:v>
      </x:c>
      <x:c r="Q2" s="19" t="n">
        <x:f>'02_WHEEL_VARIANTS'!O2</x:f>
        <x:v>139.7</x:v>
      </x:c>
      <x:c r="R2" s="9" t="str">
        <x:f>IF('02_WHEEL_VARIANTS'!P2="","",'02_WHEEL_VARIANTS'!P2)</x:f>
      </x:c>
      <x:c r="S2" s="19" t="str">
        <x:f>IF('02_WHEEL_VARIANTS'!Q2="","",'02_WHEEL_VARIANTS'!Q2)</x:f>
      </x:c>
      <x:c r="T2" s="25" t="n">
        <x:f>'02_WHEEL_VARIANTS'!R2</x:f>
        <x:v>106.1</x:v>
      </x:c>
      <x:c r="U2" s="29" t="n">
        <x:f>'02_WHEEL_VARIANTS'!S2</x:f>
        <x:v>1100</x:v>
      </x:c>
      <x:c r="V2" s="9" t="str">
        <x:f>'02_WHEEL_VARIANTS'!T2</x:f>
        <x:v>monoblock</x:v>
      </x:c>
      <x:c r="W2" s="9" t="str">
        <x:f>'06_ATTRIBUTE_VALUES'!H2</x:f>
        <x:v>simulated</x:v>
      </x:c>
      <x:c r="X2" s="9" t="str">
        <x:f>'06_ATTRIBUTE_VALUES'!H3</x:f>
        <x:v>concave</x:v>
      </x:c>
      <x:c r="Y2" s="41" t="n">
        <x:f>'06_ATTRIBUTE_VALUES'!F4</x:f>
        <x:v>11.2</x:v>
      </x:c>
      <x:c r="Z2" s="9" t="str">
        <x:f>'06_ATTRIBUTE_VALUES'!H5</x:f>
        <x:v>satin_black</x:v>
      </x:c>
      <x:c r="AA2" s="9" t="str">
        <x:f>'06_ATTRIBUTE_VALUES'!H6</x:f>
        <x:v>black</x:v>
      </x:c>
      <x:c r="AB2" s="9" t="str">
        <x:f>'02_WHEEL_VARIANTS'!X2</x:f>
        <x:v>internal_demo</x:v>
      </x:c>
      <x:c r="AC2" s="9" t="b">
        <x:f>AND(G2="published",'02_WHEEL_VARIANTS'!AB2=FALSE)</x:f>
        <x:v>1</x:v>
      </x:c>
    </x:row>
    <x:row r="3" ht="15" hidden="0" customHeight="1">
      <x:c r="A3" s="10" t="str">
        <x:f>'02_WHEEL_VARIANTS'!A3</x:f>
        <x:v>BIZON-WHEEL-VAR-ATLAS-189-ETM12-6X1397</x:v>
      </x:c>
      <x:c r="B3" s="10" t="str">
        <x:f>'02_WHEEL_VARIANTS'!B3</x:f>
        <x:v>BIZON-WHEEL-MODEL-ATLAS</x:v>
      </x:c>
      <x:c r="C3" s="10" t="str">
        <x:f>'01_WHEEL_MODELS'!C2</x:f>
        <x:v>atlas</x:v>
      </x:c>
      <x:c r="D3" s="10" t="str">
        <x:f>'01_WHEEL_MODELS'!D2</x:f>
        <x:v>BIZON Atlas</x:v>
      </x:c>
      <x:c r="E3" s="10" t="str">
        <x:f>'02_WHEEL_VARIANTS'!C3</x:f>
        <x:v>BIZ-ATLAS-189-ETM12-6X1397</x:v>
      </x:c>
      <x:c r="F3" s="10" t="str">
        <x:f>'02_WHEEL_VARIANTS'!D3</x:f>
        <x:v>BIZON Atlas 18×9 ET−12</x:v>
      </x:c>
      <x:c r="G3" s="10" t="str">
        <x:f>'02_WHEEL_VARIANTS'!F3</x:f>
        <x:v>published</x:v>
      </x:c>
      <x:c r="H3" s="10" t="str">
        <x:f>'02_WHEEL_VARIANTS'!E3</x:f>
        <x:v>made_to_order</x:v>
      </x:c>
      <x:c r="I3" s="10" t="b">
        <x:f>'02_WHEEL_VARIANTS'!G3</x:f>
        <x:v>0</x:v>
      </x:c>
      <x:c r="J3" s="24" t="str">
        <x:f>IF('02_WHEEL_VARIANTS'!H3="","",'02_WHEEL_VARIANTS'!H3)</x:f>
      </x:c>
      <x:c r="K3" s="10" t="b">
        <x:f>'02_WHEEL_VARIANTS'!I3</x:f>
        <x:v>1</x:v>
      </x:c>
      <x:c r="L3" s="20" t="n">
        <x:f>'02_WHEEL_VARIANTS'!J3</x:f>
        <x:v>30</x:v>
      </x:c>
      <x:c r="M3" s="26" t="n">
        <x:f>'02_WHEEL_VARIANTS'!K3</x:f>
        <x:v>18</x:v>
      </x:c>
      <x:c r="N3" s="26" t="n">
        <x:f>'02_WHEEL_VARIANTS'!L3</x:f>
        <x:v>9</x:v>
      </x:c>
      <x:c r="O3" s="28" t="n">
        <x:f>'02_WHEEL_VARIANTS'!M3</x:f>
        <x:v>-12</x:v>
      </x:c>
      <x:c r="P3" s="10" t="n">
        <x:f>'02_WHEEL_VARIANTS'!N3</x:f>
        <x:v>6</x:v>
      </x:c>
      <x:c r="Q3" s="20" t="n">
        <x:f>'02_WHEEL_VARIANTS'!O3</x:f>
        <x:v>139.7</x:v>
      </x:c>
      <x:c r="R3" s="10" t="str">
        <x:f>IF('02_WHEEL_VARIANTS'!P3="","",'02_WHEEL_VARIANTS'!P3)</x:f>
      </x:c>
      <x:c r="S3" s="20" t="str">
        <x:f>IF('02_WHEEL_VARIANTS'!Q3="","",'02_WHEEL_VARIANTS'!Q3)</x:f>
      </x:c>
      <x:c r="T3" s="26" t="n">
        <x:f>'02_WHEEL_VARIANTS'!R3</x:f>
        <x:v>106.1</x:v>
      </x:c>
      <x:c r="U3" s="30" t="n">
        <x:f>'02_WHEEL_VARIANTS'!S3</x:f>
        <x:v>1150</x:v>
      </x:c>
      <x:c r="V3" s="10" t="str">
        <x:f>'02_WHEEL_VARIANTS'!T3</x:f>
        <x:v>monoblock</x:v>
      </x:c>
      <x:c r="W3" s="10" t="str">
        <x:f>'06_ATTRIBUTE_VALUES'!H7</x:f>
        <x:v>none</x:v>
      </x:c>
      <x:c r="X3" s="10" t="str">
        <x:f>'06_ATTRIBUTE_VALUES'!H8</x:f>
        <x:v>deep_concave</x:v>
      </x:c>
      <x:c r="Y3" s="42" t="n">
        <x:f>'06_ATTRIBUTE_VALUES'!F9</x:f>
        <x:v>12.1</x:v>
      </x:c>
      <x:c r="Z3" s="10" t="str">
        <x:f>'06_ATTRIBUTE_VALUES'!H10</x:f>
        <x:v>machined_silver</x:v>
      </x:c>
      <x:c r="AA3" s="10" t="str">
        <x:f>'06_ATTRIBUTE_VALUES'!H11</x:f>
        <x:v>silver</x:v>
      </x:c>
      <x:c r="AB3" s="10" t="str">
        <x:f>'02_WHEEL_VARIANTS'!X3</x:f>
        <x:v>internal_demo</x:v>
      </x:c>
      <x:c r="AC3" s="10" t="b">
        <x:f>AND(G3="published",'02_WHEEL_VARIANTS'!AB3=FALSE)</x:f>
        <x:v>1</x:v>
      </x:c>
    </x:row>
    <x:row r="4" ht="15" hidden="0" customHeight="1">
      <x:c r="A4" s="9" t="str">
        <x:f>'02_WHEEL_VARIANTS'!A4</x:f>
        <x:v>BIZON-WHEEL-VAR-ATLAS-209-ET18-6X1397</x:v>
      </x:c>
      <x:c r="B4" s="9" t="str">
        <x:f>'02_WHEEL_VARIANTS'!B4</x:f>
        <x:v>BIZON-WHEEL-MODEL-ATLAS</x:v>
      </x:c>
      <x:c r="C4" s="9" t="str">
        <x:f>'01_WHEEL_MODELS'!C2</x:f>
        <x:v>atlas</x:v>
      </x:c>
      <x:c r="D4" s="9" t="str">
        <x:f>'01_WHEEL_MODELS'!D2</x:f>
        <x:v>BIZON Atlas</x:v>
      </x:c>
      <x:c r="E4" s="9" t="str">
        <x:f>'02_WHEEL_VARIANTS'!C4</x:f>
        <x:v>BIZ-ATLAS-209-ET18-6X1397</x:v>
      </x:c>
      <x:c r="F4" s="9" t="str">
        <x:f>'02_WHEEL_VARIANTS'!D4</x:f>
        <x:v>BIZON Atlas 20×9 ET18</x:v>
      </x:c>
      <x:c r="G4" s="9" t="str">
        <x:f>'02_WHEEL_VARIANTS'!F4</x:f>
        <x:v>published</x:v>
      </x:c>
      <x:c r="H4" s="9" t="str">
        <x:f>'02_WHEEL_VARIANTS'!E4</x:f>
        <x:v>stock</x:v>
      </x:c>
      <x:c r="I4" s="9" t="b">
        <x:f>'02_WHEEL_VARIANTS'!G4</x:f>
        <x:v>1</x:v>
      </x:c>
      <x:c r="J4" s="23" t="n">
        <x:f>IF('02_WHEEL_VARIANTS'!H4="","",'02_WHEEL_VARIANTS'!H4)</x:f>
        <x:v>164000</x:v>
      </x:c>
      <x:c r="K4" s="9" t="b">
        <x:f>'02_WHEEL_VARIANTS'!I4</x:f>
        <x:v>0</x:v>
      </x:c>
      <x:c r="L4" s="19" t="n">
        <x:f>'02_WHEEL_VARIANTS'!J4</x:f>
        <x:v>7</x:v>
      </x:c>
      <x:c r="M4" s="25" t="n">
        <x:f>'02_WHEEL_VARIANTS'!K4</x:f>
        <x:v>20</x:v>
      </x:c>
      <x:c r="N4" s="25" t="n">
        <x:f>'02_WHEEL_VARIANTS'!L4</x:f>
        <x:v>9</x:v>
      </x:c>
      <x:c r="O4" s="27" t="n">
        <x:f>'02_WHEEL_VARIANTS'!M4</x:f>
        <x:v>18</x:v>
      </x:c>
      <x:c r="P4" s="9" t="n">
        <x:f>'02_WHEEL_VARIANTS'!N4</x:f>
        <x:v>6</x:v>
      </x:c>
      <x:c r="Q4" s="19" t="n">
        <x:f>'02_WHEEL_VARIANTS'!O4</x:f>
        <x:v>139.7</x:v>
      </x:c>
      <x:c r="R4" s="9" t="str">
        <x:f>IF('02_WHEEL_VARIANTS'!P4="","",'02_WHEEL_VARIANTS'!P4)</x:f>
      </x:c>
      <x:c r="S4" s="19" t="str">
        <x:f>IF('02_WHEEL_VARIANTS'!Q4="","",'02_WHEEL_VARIANTS'!Q4)</x:f>
      </x:c>
      <x:c r="T4" s="25" t="n">
        <x:f>'02_WHEEL_VARIANTS'!R4</x:f>
        <x:v>106.1</x:v>
      </x:c>
      <x:c r="U4" s="29" t="n">
        <x:f>'02_WHEEL_VARIANTS'!S4</x:f>
        <x:v>1050</x:v>
      </x:c>
      <x:c r="V4" s="9" t="str">
        <x:f>'02_WHEEL_VARIANTS'!T4</x:f>
        <x:v>monoblock</x:v>
      </x:c>
      <x:c r="W4" s="9" t="str">
        <x:f>'06_ATTRIBUTE_VALUES'!H12</x:f>
        <x:v>simulated</x:v>
      </x:c>
      <x:c r="X4" s="9" t="str">
        <x:f>'06_ATTRIBUTE_VALUES'!H13</x:f>
        <x:v>concave</x:v>
      </x:c>
      <x:c r="Y4" s="41" t="n">
        <x:f>'06_ATTRIBUTE_VALUES'!F14</x:f>
        <x:v>13.4</x:v>
      </x:c>
      <x:c r="Z4" s="9" t="str">
        <x:f>'06_ATTRIBUTE_VALUES'!H15</x:f>
        <x:v>satin_black</x:v>
      </x:c>
      <x:c r="AA4" s="9" t="str">
        <x:f>'06_ATTRIBUTE_VALUES'!H16</x:f>
        <x:v>black</x:v>
      </x:c>
      <x:c r="AB4" s="9" t="str">
        <x:f>'02_WHEEL_VARIANTS'!X4</x:f>
        <x:v>internal_demo</x:v>
      </x:c>
      <x:c r="AC4" s="9" t="b">
        <x:f>AND(G4="published",'02_WHEEL_VARIANTS'!AB4=FALSE)</x:f>
        <x:v>1</x:v>
      </x:c>
    </x:row>
    <x:row r="5" ht="15" hidden="0" customHeight="1">
      <x:c r="A5" s="10" t="str">
        <x:f>'02_WHEEL_VARIANTS'!A5</x:f>
        <x:v>BIZON-WHEEL-VAR-ATLAS-2010-ETM18-DUAL</x:v>
      </x:c>
      <x:c r="B5" s="10" t="str">
        <x:f>'02_WHEEL_VARIANTS'!B5</x:f>
        <x:v>BIZON-WHEEL-MODEL-ATLAS</x:v>
      </x:c>
      <x:c r="C5" s="10" t="str">
        <x:f>'01_WHEEL_MODELS'!C2</x:f>
        <x:v>atlas</x:v>
      </x:c>
      <x:c r="D5" s="10" t="str">
        <x:f>'01_WHEEL_MODELS'!D2</x:f>
        <x:v>BIZON Atlas</x:v>
      </x:c>
      <x:c r="E5" s="10" t="str">
        <x:f>'02_WHEEL_VARIANTS'!C5</x:f>
        <x:v>BIZ-ATLAS-2010-ETM18-DUAL</x:v>
      </x:c>
      <x:c r="F5" s="10" t="str">
        <x:f>'02_WHEEL_VARIANTS'!D5</x:f>
        <x:v>BIZON Atlas 20×10 ET−18 Dual PCD</x:v>
      </x:c>
      <x:c r="G5" s="10" t="str">
        <x:f>'02_WHEEL_VARIANTS'!F5</x:f>
        <x:v>published</x:v>
      </x:c>
      <x:c r="H5" s="10" t="str">
        <x:f>'02_WHEEL_VARIANTS'!E5</x:f>
        <x:v>made_to_order</x:v>
      </x:c>
      <x:c r="I5" s="10" t="b">
        <x:f>'02_WHEEL_VARIANTS'!G5</x:f>
        <x:v>0</x:v>
      </x:c>
      <x:c r="J5" s="24" t="str">
        <x:f>IF('02_WHEEL_VARIANTS'!H5="","",'02_WHEEL_VARIANTS'!H5)</x:f>
      </x:c>
      <x:c r="K5" s="10" t="b">
        <x:f>'02_WHEEL_VARIANTS'!I5</x:f>
        <x:v>1</x:v>
      </x:c>
      <x:c r="L5" s="20" t="n">
        <x:f>'02_WHEEL_VARIANTS'!J5</x:f>
        <x:v>35</x:v>
      </x:c>
      <x:c r="M5" s="26" t="n">
        <x:f>'02_WHEEL_VARIANTS'!K5</x:f>
        <x:v>20</x:v>
      </x:c>
      <x:c r="N5" s="26" t="n">
        <x:f>'02_WHEEL_VARIANTS'!L5</x:f>
        <x:v>10</x:v>
      </x:c>
      <x:c r="O5" s="28" t="n">
        <x:f>'02_WHEEL_VARIANTS'!M5</x:f>
        <x:v>-18</x:v>
      </x:c>
      <x:c r="P5" s="10" t="n">
        <x:f>'02_WHEEL_VARIANTS'!N5</x:f>
        <x:v>6</x:v>
      </x:c>
      <x:c r="Q5" s="20" t="n">
        <x:f>'02_WHEEL_VARIANTS'!O5</x:f>
        <x:v>139.7</x:v>
      </x:c>
      <x:c r="R5" s="10" t="n">
        <x:f>IF('02_WHEEL_VARIANTS'!P5="","",'02_WHEEL_VARIANTS'!P5)</x:f>
        <x:v>5</x:v>
      </x:c>
      <x:c r="S5" s="20" t="n">
        <x:f>IF('02_WHEEL_VARIANTS'!Q5="","",'02_WHEEL_VARIANTS'!Q5)</x:f>
        <x:v>127</x:v>
      </x:c>
      <x:c r="T5" s="26" t="n">
        <x:f>'02_WHEEL_VARIANTS'!R5</x:f>
        <x:v>106.1</x:v>
      </x:c>
      <x:c r="U5" s="30" t="n">
        <x:f>'02_WHEEL_VARIANTS'!S5</x:f>
        <x:v>1100</x:v>
      </x:c>
      <x:c r="V5" s="10" t="str">
        <x:f>'02_WHEEL_VARIANTS'!T5</x:f>
        <x:v>two_piece</x:v>
      </x:c>
      <x:c r="W5" s="10" t="str">
        <x:f>'06_ATTRIBUTE_VALUES'!H17</x:f>
        <x:v>functional</x:v>
      </x:c>
      <x:c r="X5" s="10" t="str">
        <x:f>'06_ATTRIBUTE_VALUES'!H18</x:f>
        <x:v>deep_concave</x:v>
      </x:c>
      <x:c r="Y5" s="42" t="n">
        <x:f>'06_ATTRIBUTE_VALUES'!F19</x:f>
        <x:v>15.8</x:v>
      </x:c>
      <x:c r="Z5" s="10" t="str">
        <x:f>'06_ATTRIBUTE_VALUES'!H20</x:f>
        <x:v>machined_silver</x:v>
      </x:c>
      <x:c r="AA5" s="10" t="str">
        <x:f>'06_ATTRIBUTE_VALUES'!H21</x:f>
        <x:v>silver</x:v>
      </x:c>
      <x:c r="AB5" s="10" t="str">
        <x:f>'02_WHEEL_VARIANTS'!X5</x:f>
        <x:v>internal_demo</x:v>
      </x:c>
      <x:c r="AC5" s="10" t="b">
        <x:f>AND(G5="published",'02_WHEEL_VARIANTS'!AB5=FALSE)</x:f>
        <x:v>1</x:v>
      </x:c>
    </x:row>
    <x:row r="6" ht="15" hidden="0" customHeight="1">
      <x:c r="A6" s="9" t="str">
        <x:f>'02_WHEEL_VARIANTS'!A6</x:f>
        <x:v>BIZON-WHEEL-VAR-VECTOR-1885-ET35-5X1143</x:v>
      </x:c>
      <x:c r="B6" s="9" t="str">
        <x:f>'02_WHEEL_VARIANTS'!B6</x:f>
        <x:v>BIZON-WHEEL-MODEL-VECTOR</x:v>
      </x:c>
      <x:c r="C6" s="9" t="str">
        <x:f>'01_WHEEL_MODELS'!C3</x:f>
        <x:v>vector</x:v>
      </x:c>
      <x:c r="D6" s="9" t="str">
        <x:f>'01_WHEEL_MODELS'!D3</x:f>
        <x:v>BIZON Vector</x:v>
      </x:c>
      <x:c r="E6" s="9" t="str">
        <x:f>'02_WHEEL_VARIANTS'!C6</x:f>
        <x:v>BIZ-VECTOR-1885-ET35-5X1143</x:v>
      </x:c>
      <x:c r="F6" s="9" t="str">
        <x:f>'02_WHEEL_VARIANTS'!D6</x:f>
        <x:v>BIZON Vector 18×8.5 ET35</x:v>
      </x:c>
      <x:c r="G6" s="9" t="str">
        <x:f>'02_WHEEL_VARIANTS'!F6</x:f>
        <x:v>published</x:v>
      </x:c>
      <x:c r="H6" s="9" t="str">
        <x:f>'02_WHEEL_VARIANTS'!E6</x:f>
        <x:v>stock</x:v>
      </x:c>
      <x:c r="I6" s="9" t="b">
        <x:f>'02_WHEEL_VARIANTS'!G6</x:f>
        <x:v>1</x:v>
      </x:c>
      <x:c r="J6" s="23" t="n">
        <x:f>IF('02_WHEEL_VARIANTS'!H6="","",'02_WHEEL_VARIANTS'!H6)</x:f>
        <x:v>119000</x:v>
      </x:c>
      <x:c r="K6" s="9" t="b">
        <x:f>'02_WHEEL_VARIANTS'!I6</x:f>
        <x:v>0</x:v>
      </x:c>
      <x:c r="L6" s="19" t="n">
        <x:f>'02_WHEEL_VARIANTS'!J6</x:f>
        <x:v>5</x:v>
      </x:c>
      <x:c r="M6" s="25" t="n">
        <x:f>'02_WHEEL_VARIANTS'!K6</x:f>
        <x:v>18</x:v>
      </x:c>
      <x:c r="N6" s="25" t="n">
        <x:f>'02_WHEEL_VARIANTS'!L6</x:f>
        <x:v>8.5</x:v>
      </x:c>
      <x:c r="O6" s="27" t="n">
        <x:f>'02_WHEEL_VARIANTS'!M6</x:f>
        <x:v>35</x:v>
      </x:c>
      <x:c r="P6" s="9" t="n">
        <x:f>'02_WHEEL_VARIANTS'!N6</x:f>
        <x:v>5</x:v>
      </x:c>
      <x:c r="Q6" s="19" t="n">
        <x:f>'02_WHEEL_VARIANTS'!O6</x:f>
        <x:v>114.3</x:v>
      </x:c>
      <x:c r="R6" s="9" t="str">
        <x:f>IF('02_WHEEL_VARIANTS'!P6="","",'02_WHEEL_VARIANTS'!P6)</x:f>
      </x:c>
      <x:c r="S6" s="19" t="str">
        <x:f>IF('02_WHEEL_VARIANTS'!Q6="","",'02_WHEEL_VARIANTS'!Q6)</x:f>
      </x:c>
      <x:c r="T6" s="25" t="n">
        <x:f>'02_WHEEL_VARIANTS'!R6</x:f>
        <x:v>67.1</x:v>
      </x:c>
      <x:c r="U6" s="29" t="n">
        <x:f>'02_WHEEL_VARIANTS'!S6</x:f>
        <x:v>750</x:v>
      </x:c>
      <x:c r="V6" s="9" t="str">
        <x:f>'02_WHEEL_VARIANTS'!T6</x:f>
        <x:v>monoblock</x:v>
      </x:c>
      <x:c r="W6" s="9" t="str">
        <x:f>'06_ATTRIBUTE_VALUES'!H22</x:f>
        <x:v>none</x:v>
      </x:c>
      <x:c r="X6" s="9" t="str">
        <x:f>'06_ATTRIBUTE_VALUES'!H23</x:f>
        <x:v>flat</x:v>
      </x:c>
      <x:c r="Y6" s="41" t="n">
        <x:f>'06_ATTRIBUTE_VALUES'!F24</x:f>
        <x:v>9.1</x:v>
      </x:c>
      <x:c r="Z6" s="9" t="str">
        <x:f>'06_ATTRIBUTE_VALUES'!H25</x:f>
        <x:v>graphite</x:v>
      </x:c>
      <x:c r="AA6" s="9" t="str">
        <x:f>'06_ATTRIBUTE_VALUES'!H26</x:f>
        <x:v>graphite</x:v>
      </x:c>
      <x:c r="AB6" s="9" t="str">
        <x:f>'02_WHEEL_VARIANTS'!X6</x:f>
        <x:v>internal_demo</x:v>
      </x:c>
      <x:c r="AC6" s="9" t="b">
        <x:f>AND(G6="published",'02_WHEEL_VARIANTS'!AB6=FALSE)</x:f>
        <x:v>1</x:v>
      </x:c>
    </x:row>
    <x:row r="7" ht="15" hidden="0" customHeight="1">
      <x:c r="A7" s="10" t="str">
        <x:f>'02_WHEEL_VARIANTS'!A7</x:f>
        <x:v>BIZON-WHEEL-VAR-VECTOR-1995-ET30-5X1143</x:v>
      </x:c>
      <x:c r="B7" s="10" t="str">
        <x:f>'02_WHEEL_VARIANTS'!B7</x:f>
        <x:v>BIZON-WHEEL-MODEL-VECTOR</x:v>
      </x:c>
      <x:c r="C7" s="10" t="str">
        <x:f>'01_WHEEL_MODELS'!C3</x:f>
        <x:v>vector</x:v>
      </x:c>
      <x:c r="D7" s="10" t="str">
        <x:f>'01_WHEEL_MODELS'!D3</x:f>
        <x:v>BIZON Vector</x:v>
      </x:c>
      <x:c r="E7" s="10" t="str">
        <x:f>'02_WHEEL_VARIANTS'!C7</x:f>
        <x:v>BIZ-VECTOR-1995-ET30-5X1143</x:v>
      </x:c>
      <x:c r="F7" s="10" t="str">
        <x:f>'02_WHEEL_VARIANTS'!D7</x:f>
        <x:v>BIZON Vector 19×9.5 ET30</x:v>
      </x:c>
      <x:c r="G7" s="10" t="str">
        <x:f>'02_WHEEL_VARIANTS'!F7</x:f>
        <x:v>published</x:v>
      </x:c>
      <x:c r="H7" s="10" t="str">
        <x:f>'02_WHEEL_VARIANTS'!E7</x:f>
        <x:v>stock</x:v>
      </x:c>
      <x:c r="I7" s="10" t="b">
        <x:f>'02_WHEEL_VARIANTS'!G7</x:f>
        <x:v>1</x:v>
      </x:c>
      <x:c r="J7" s="24" t="n">
        <x:f>IF('02_WHEEL_VARIANTS'!H7="","",'02_WHEEL_VARIANTS'!H7)</x:f>
        <x:v>139000</x:v>
      </x:c>
      <x:c r="K7" s="10" t="b">
        <x:f>'02_WHEEL_VARIANTS'!I7</x:f>
        <x:v>0</x:v>
      </x:c>
      <x:c r="L7" s="20" t="n">
        <x:f>'02_WHEEL_VARIANTS'!J7</x:f>
        <x:v>7</x:v>
      </x:c>
      <x:c r="M7" s="26" t="n">
        <x:f>'02_WHEEL_VARIANTS'!K7</x:f>
        <x:v>19</x:v>
      </x:c>
      <x:c r="N7" s="26" t="n">
        <x:f>'02_WHEEL_VARIANTS'!L7</x:f>
        <x:v>9.5</x:v>
      </x:c>
      <x:c r="O7" s="28" t="n">
        <x:f>'02_WHEEL_VARIANTS'!M7</x:f>
        <x:v>30</x:v>
      </x:c>
      <x:c r="P7" s="10" t="n">
        <x:f>'02_WHEEL_VARIANTS'!N7</x:f>
        <x:v>5</x:v>
      </x:c>
      <x:c r="Q7" s="20" t="n">
        <x:f>'02_WHEEL_VARIANTS'!O7</x:f>
        <x:v>114.3</x:v>
      </x:c>
      <x:c r="R7" s="10" t="str">
        <x:f>IF('02_WHEEL_VARIANTS'!P7="","",'02_WHEEL_VARIANTS'!P7)</x:f>
      </x:c>
      <x:c r="S7" s="20" t="str">
        <x:f>IF('02_WHEEL_VARIANTS'!Q7="","",'02_WHEEL_VARIANTS'!Q7)</x:f>
      </x:c>
      <x:c r="T7" s="26" t="n">
        <x:f>'02_WHEEL_VARIANTS'!R7</x:f>
        <x:v>67.1</x:v>
      </x:c>
      <x:c r="U7" s="30" t="n">
        <x:f>'02_WHEEL_VARIANTS'!S7</x:f>
        <x:v>780</x:v>
      </x:c>
      <x:c r="V7" s="10" t="str">
        <x:f>'02_WHEEL_VARIANTS'!T7</x:f>
        <x:v>monoblock</x:v>
      </x:c>
      <x:c r="W7" s="10" t="str">
        <x:f>'06_ATTRIBUTE_VALUES'!H27</x:f>
        <x:v>none</x:v>
      </x:c>
      <x:c r="X7" s="10" t="str">
        <x:f>'06_ATTRIBUTE_VALUES'!H28</x:f>
        <x:v>concave</x:v>
      </x:c>
      <x:c r="Y7" s="42" t="n">
        <x:f>'06_ATTRIBUTE_VALUES'!F29</x:f>
        <x:v>9.8</x:v>
      </x:c>
      <x:c r="Z7" s="10" t="str">
        <x:f>'06_ATTRIBUTE_VALUES'!H30</x:f>
        <x:v>graphite</x:v>
      </x:c>
      <x:c r="AA7" s="10" t="str">
        <x:f>'06_ATTRIBUTE_VALUES'!H31</x:f>
        <x:v>graphite</x:v>
      </x:c>
      <x:c r="AB7" s="10" t="str">
        <x:f>'02_WHEEL_VARIANTS'!X7</x:f>
        <x:v>internal_demo</x:v>
      </x:c>
      <x:c r="AC7" s="10" t="b">
        <x:f>AND(G7="published",'02_WHEEL_VARIANTS'!AB7=FALSE)</x:f>
        <x:v>1</x:v>
      </x:c>
    </x:row>
    <x:row r="8" ht="15" hidden="0" customHeight="1">
      <x:c r="A8" s="9" t="str">
        <x:f>'02_WHEEL_VARIANTS'!A8</x:f>
        <x:v>BIZON-WHEEL-VAR-VECTOR-209-ET35-5X112</x:v>
      </x:c>
      <x:c r="B8" s="9" t="str">
        <x:f>'02_WHEEL_VARIANTS'!B8</x:f>
        <x:v>BIZON-WHEEL-MODEL-VECTOR</x:v>
      </x:c>
      <x:c r="C8" s="9" t="str">
        <x:f>'01_WHEEL_MODELS'!C3</x:f>
        <x:v>vector</x:v>
      </x:c>
      <x:c r="D8" s="9" t="str">
        <x:f>'01_WHEEL_MODELS'!D3</x:f>
        <x:v>BIZON Vector</x:v>
      </x:c>
      <x:c r="E8" s="9" t="str">
        <x:f>'02_WHEEL_VARIANTS'!C8</x:f>
        <x:v>BIZ-VECTOR-209-ET35-5X112</x:v>
      </x:c>
      <x:c r="F8" s="9" t="str">
        <x:f>'02_WHEEL_VARIANTS'!D8</x:f>
        <x:v>BIZON Vector 20×9 ET35</x:v>
      </x:c>
      <x:c r="G8" s="9" t="str">
        <x:f>'02_WHEEL_VARIANTS'!F8</x:f>
        <x:v>published</x:v>
      </x:c>
      <x:c r="H8" s="9" t="str">
        <x:f>'02_WHEEL_VARIANTS'!E8</x:f>
        <x:v>stock</x:v>
      </x:c>
      <x:c r="I8" s="9" t="b">
        <x:f>'02_WHEEL_VARIANTS'!G8</x:f>
        <x:v>1</x:v>
      </x:c>
      <x:c r="J8" s="23" t="n">
        <x:f>IF('02_WHEEL_VARIANTS'!H8="","",'02_WHEEL_VARIANTS'!H8)</x:f>
        <x:v>154000</x:v>
      </x:c>
      <x:c r="K8" s="9" t="b">
        <x:f>'02_WHEEL_VARIANTS'!I8</x:f>
        <x:v>0</x:v>
      </x:c>
      <x:c r="L8" s="19" t="n">
        <x:f>'02_WHEEL_VARIANTS'!J8</x:f>
        <x:v>7</x:v>
      </x:c>
      <x:c r="M8" s="25" t="n">
        <x:f>'02_WHEEL_VARIANTS'!K8</x:f>
        <x:v>20</x:v>
      </x:c>
      <x:c r="N8" s="25" t="n">
        <x:f>'02_WHEEL_VARIANTS'!L8</x:f>
        <x:v>9</x:v>
      </x:c>
      <x:c r="O8" s="27" t="n">
        <x:f>'02_WHEEL_VARIANTS'!M8</x:f>
        <x:v>35</x:v>
      </x:c>
      <x:c r="P8" s="9" t="n">
        <x:f>'02_WHEEL_VARIANTS'!N8</x:f>
        <x:v>5</x:v>
      </x:c>
      <x:c r="Q8" s="19" t="n">
        <x:f>'02_WHEEL_VARIANTS'!O8</x:f>
        <x:v>112</x:v>
      </x:c>
      <x:c r="R8" s="9" t="str">
        <x:f>IF('02_WHEEL_VARIANTS'!P8="","",'02_WHEEL_VARIANTS'!P8)</x:f>
      </x:c>
      <x:c r="S8" s="19" t="str">
        <x:f>IF('02_WHEEL_VARIANTS'!Q8="","",'02_WHEEL_VARIANTS'!Q8)</x:f>
      </x:c>
      <x:c r="T8" s="25" t="n">
        <x:f>'02_WHEEL_VARIANTS'!R8</x:f>
        <x:v>66.6</x:v>
      </x:c>
      <x:c r="U8" s="29" t="n">
        <x:f>'02_WHEEL_VARIANTS'!S8</x:f>
        <x:v>800</x:v>
      </x:c>
      <x:c r="V8" s="9" t="str">
        <x:f>'02_WHEEL_VARIANTS'!T8</x:f>
        <x:v>monoblock</x:v>
      </x:c>
      <x:c r="W8" s="9" t="str">
        <x:f>'06_ATTRIBUTE_VALUES'!H32</x:f>
        <x:v>none</x:v>
      </x:c>
      <x:c r="X8" s="9" t="str">
        <x:f>'06_ATTRIBUTE_VALUES'!H33</x:f>
        <x:v>flat</x:v>
      </x:c>
      <x:c r="Y8" s="41" t="n">
        <x:f>'06_ATTRIBUTE_VALUES'!F34</x:f>
        <x:v>10.6</x:v>
      </x:c>
      <x:c r="Z8" s="9" t="str">
        <x:f>'06_ATTRIBUTE_VALUES'!H35</x:f>
        <x:v>graphite</x:v>
      </x:c>
      <x:c r="AA8" s="9" t="str">
        <x:f>'06_ATTRIBUTE_VALUES'!H36</x:f>
        <x:v>graphite</x:v>
      </x:c>
      <x:c r="AB8" s="9" t="str">
        <x:f>'02_WHEEL_VARIANTS'!X8</x:f>
        <x:v>internal_demo</x:v>
      </x:c>
      <x:c r="AC8" s="9" t="b">
        <x:f>AND(G8="published",'02_WHEEL_VARIANTS'!AB8=FALSE)</x:f>
        <x:v>1</x:v>
      </x:c>
    </x:row>
    <x:row r="9" ht="15" hidden="0" customHeight="1">
      <x:c r="A9" s="10" t="str">
        <x:f>'02_WHEEL_VARIANTS'!A9</x:f>
        <x:v>BIZON-WHEEL-VAR-VECTOR-20105-ET40-5X112</x:v>
      </x:c>
      <x:c r="B9" s="10" t="str">
        <x:f>'02_WHEEL_VARIANTS'!B9</x:f>
        <x:v>BIZON-WHEEL-MODEL-VECTOR</x:v>
      </x:c>
      <x:c r="C9" s="10" t="str">
        <x:f>'01_WHEEL_MODELS'!C3</x:f>
        <x:v>vector</x:v>
      </x:c>
      <x:c r="D9" s="10" t="str">
        <x:f>'01_WHEEL_MODELS'!D3</x:f>
        <x:v>BIZON Vector</x:v>
      </x:c>
      <x:c r="E9" s="10" t="str">
        <x:f>'02_WHEEL_VARIANTS'!C9</x:f>
        <x:v>BIZ-VECTOR-20105-ET40-5X112</x:v>
      </x:c>
      <x:c r="F9" s="10" t="str">
        <x:f>'02_WHEEL_VARIANTS'!D9</x:f>
        <x:v>BIZON Vector 20×10.5 ET40</x:v>
      </x:c>
      <x:c r="G9" s="10" t="str">
        <x:f>'02_WHEEL_VARIANTS'!F9</x:f>
        <x:v>published</x:v>
      </x:c>
      <x:c r="H9" s="10" t="str">
        <x:f>'02_WHEEL_VARIANTS'!E9</x:f>
        <x:v>made_to_order</x:v>
      </x:c>
      <x:c r="I9" s="10" t="b">
        <x:f>'02_WHEEL_VARIANTS'!G9</x:f>
        <x:v>0</x:v>
      </x:c>
      <x:c r="J9" s="24" t="str">
        <x:f>IF('02_WHEEL_VARIANTS'!H9="","",'02_WHEEL_VARIANTS'!H9)</x:f>
      </x:c>
      <x:c r="K9" s="10" t="b">
        <x:f>'02_WHEEL_VARIANTS'!I9</x:f>
        <x:v>1</x:v>
      </x:c>
      <x:c r="L9" s="20" t="n">
        <x:f>'02_WHEEL_VARIANTS'!J9</x:f>
        <x:v>28</x:v>
      </x:c>
      <x:c r="M9" s="26" t="n">
        <x:f>'02_WHEEL_VARIANTS'!K9</x:f>
        <x:v>20</x:v>
      </x:c>
      <x:c r="N9" s="26" t="n">
        <x:f>'02_WHEEL_VARIANTS'!L9</x:f>
        <x:v>10.5</x:v>
      </x:c>
      <x:c r="O9" s="28" t="n">
        <x:f>'02_WHEEL_VARIANTS'!M9</x:f>
        <x:v>40</x:v>
      </x:c>
      <x:c r="P9" s="10" t="n">
        <x:f>'02_WHEEL_VARIANTS'!N9</x:f>
        <x:v>5</x:v>
      </x:c>
      <x:c r="Q9" s="20" t="n">
        <x:f>'02_WHEEL_VARIANTS'!O9</x:f>
        <x:v>112</x:v>
      </x:c>
      <x:c r="R9" s="10" t="str">
        <x:f>IF('02_WHEEL_VARIANTS'!P9="","",'02_WHEEL_VARIANTS'!P9)</x:f>
      </x:c>
      <x:c r="S9" s="20" t="str">
        <x:f>IF('02_WHEEL_VARIANTS'!Q9="","",'02_WHEEL_VARIANTS'!Q9)</x:f>
      </x:c>
      <x:c r="T9" s="26" t="n">
        <x:f>'02_WHEEL_VARIANTS'!R9</x:f>
        <x:v>66.6</x:v>
      </x:c>
      <x:c r="U9" s="30" t="n">
        <x:f>'02_WHEEL_VARIANTS'!S9</x:f>
        <x:v>820</x:v>
      </x:c>
      <x:c r="V9" s="10" t="str">
        <x:f>'02_WHEEL_VARIANTS'!T9</x:f>
        <x:v>two_piece</x:v>
      </x:c>
      <x:c r="W9" s="10" t="str">
        <x:f>'06_ATTRIBUTE_VALUES'!H37</x:f>
        <x:v>none</x:v>
      </x:c>
      <x:c r="X9" s="10" t="str">
        <x:f>'06_ATTRIBUTE_VALUES'!H38</x:f>
        <x:v>deep_concave</x:v>
      </x:c>
      <x:c r="Y9" s="42" t="n">
        <x:f>'06_ATTRIBUTE_VALUES'!F39</x:f>
        <x:v>12.4</x:v>
      </x:c>
      <x:c r="Z9" s="10" t="str">
        <x:f>'06_ATTRIBUTE_VALUES'!H40</x:f>
        <x:v>brushed_clear</x:v>
      </x:c>
      <x:c r="AA9" s="10" t="str">
        <x:f>'06_ATTRIBUTE_VALUES'!H41</x:f>
        <x:v>silver</x:v>
      </x:c>
      <x:c r="AB9" s="10" t="str">
        <x:f>'02_WHEEL_VARIANTS'!X9</x:f>
        <x:v>internal_demo</x:v>
      </x:c>
      <x:c r="AC9" s="10" t="b">
        <x:f>AND(G9="published",'02_WHEEL_VARIANTS'!AB9=FALSE)</x:f>
        <x:v>1</x:v>
      </x:c>
    </x:row>
    <x:row r="10" ht="15" hidden="0" customHeight="1">
      <x:c r="A10" s="9" t="str">
        <x:f>'02_WHEEL_VARIANTS'!A10</x:f>
        <x:v>BIZON-WHEEL-VAR-VECTOR-21105-ET38-5X120</x:v>
      </x:c>
      <x:c r="B10" s="9" t="str">
        <x:f>'02_WHEEL_VARIANTS'!B10</x:f>
        <x:v>BIZON-WHEEL-MODEL-VECTOR</x:v>
      </x:c>
      <x:c r="C10" s="9" t="str">
        <x:f>'01_WHEEL_MODELS'!C3</x:f>
        <x:v>vector</x:v>
      </x:c>
      <x:c r="D10" s="9" t="str">
        <x:f>'01_WHEEL_MODELS'!D3</x:f>
        <x:v>BIZON Vector</x:v>
      </x:c>
      <x:c r="E10" s="9" t="str">
        <x:f>'02_WHEEL_VARIANTS'!C10</x:f>
        <x:v>BIZ-VECTOR-21105-ET38-5X120</x:v>
      </x:c>
      <x:c r="F10" s="9" t="str">
        <x:f>'02_WHEEL_VARIANTS'!D10</x:f>
        <x:v>BIZON Vector 21×10.5 ET38</x:v>
      </x:c>
      <x:c r="G10" s="9" t="str">
        <x:f>'02_WHEEL_VARIANTS'!F10</x:f>
        <x:v>published</x:v>
      </x:c>
      <x:c r="H10" s="9" t="str">
        <x:f>'02_WHEEL_VARIANTS'!E10</x:f>
        <x:v>made_to_order</x:v>
      </x:c>
      <x:c r="I10" s="9" t="b">
        <x:f>'02_WHEEL_VARIANTS'!G10</x:f>
        <x:v>0</x:v>
      </x:c>
      <x:c r="J10" s="23" t="str">
        <x:f>IF('02_WHEEL_VARIANTS'!H10="","",'02_WHEEL_VARIANTS'!H10)</x:f>
      </x:c>
      <x:c r="K10" s="9" t="b">
        <x:f>'02_WHEEL_VARIANTS'!I10</x:f>
        <x:v>1</x:v>
      </x:c>
      <x:c r="L10" s="19" t="n">
        <x:f>'02_WHEEL_VARIANTS'!J10</x:f>
        <x:v>32</x:v>
      </x:c>
      <x:c r="M10" s="25" t="n">
        <x:f>'02_WHEEL_VARIANTS'!K10</x:f>
        <x:v>21</x:v>
      </x:c>
      <x:c r="N10" s="25" t="n">
        <x:f>'02_WHEEL_VARIANTS'!L10</x:f>
        <x:v>10.5</x:v>
      </x:c>
      <x:c r="O10" s="27" t="n">
        <x:f>'02_WHEEL_VARIANTS'!M10</x:f>
        <x:v>38</x:v>
      </x:c>
      <x:c r="P10" s="9" t="n">
        <x:f>'02_WHEEL_VARIANTS'!N10</x:f>
        <x:v>5</x:v>
      </x:c>
      <x:c r="Q10" s="19" t="n">
        <x:f>'02_WHEEL_VARIANTS'!O10</x:f>
        <x:v>120</x:v>
      </x:c>
      <x:c r="R10" s="9" t="str">
        <x:f>IF('02_WHEEL_VARIANTS'!P10="","",'02_WHEEL_VARIANTS'!P10)</x:f>
      </x:c>
      <x:c r="S10" s="19" t="str">
        <x:f>IF('02_WHEEL_VARIANTS'!Q10="","",'02_WHEEL_VARIANTS'!Q10)</x:f>
      </x:c>
      <x:c r="T10" s="25" t="n">
        <x:f>'02_WHEEL_VARIANTS'!R10</x:f>
        <x:v>72.6</x:v>
      </x:c>
      <x:c r="U10" s="29" t="n">
        <x:f>'02_WHEEL_VARIANTS'!S10</x:f>
        <x:v>850</x:v>
      </x:c>
      <x:c r="V10" s="9" t="str">
        <x:f>'02_WHEEL_VARIANTS'!T10</x:f>
        <x:v>three_piece</x:v>
      </x:c>
      <x:c r="W10" s="9" t="str">
        <x:f>'06_ATTRIBUTE_VALUES'!H42</x:f>
        <x:v>none</x:v>
      </x:c>
      <x:c r="X10" s="9" t="str">
        <x:f>'06_ATTRIBUTE_VALUES'!H43</x:f>
        <x:v>deep_concave</x:v>
      </x:c>
      <x:c r="Y10" s="41" t="n">
        <x:f>'06_ATTRIBUTE_VALUES'!F44</x:f>
        <x:v>14.2</x:v>
      </x:c>
      <x:c r="Z10" s="9" t="str">
        <x:f>'06_ATTRIBUTE_VALUES'!H45</x:f>
        <x:v>brushed_clear</x:v>
      </x:c>
      <x:c r="AA10" s="9" t="str">
        <x:f>'06_ATTRIBUTE_VALUES'!H46</x:f>
        <x:v>silver</x:v>
      </x:c>
      <x:c r="AB10" s="9" t="str">
        <x:f>'02_WHEEL_VARIANTS'!X10</x:f>
        <x:v>internal_demo</x:v>
      </x:c>
      <x:c r="AC10" s="9" t="b">
        <x:f>AND(G10="published",'02_WHEEL_VARIANTS'!AB10=FALSE)</x:f>
        <x:v>1</x:v>
      </x:c>
    </x:row>
    <x:row r="11" ht="15" hidden="0" customHeight="1">
      <x:c r="A11" s="10" t="str">
        <x:f>'02_WHEEL_VARIANTS'!A11</x:f>
        <x:v>BIZON-WHEEL-VAR-NOMAD-1785-ET10-6X1397</x:v>
      </x:c>
      <x:c r="B11" s="10" t="str">
        <x:f>'02_WHEEL_VARIANTS'!B11</x:f>
        <x:v>BIZON-WHEEL-MODEL-NOMAD</x:v>
      </x:c>
      <x:c r="C11" s="10" t="str">
        <x:f>'01_WHEEL_MODELS'!C4</x:f>
        <x:v>nomad</x:v>
      </x:c>
      <x:c r="D11" s="10" t="str">
        <x:f>'01_WHEEL_MODELS'!D4</x:f>
        <x:v>BIZON Nomad</x:v>
      </x:c>
      <x:c r="E11" s="10" t="str">
        <x:f>'02_WHEEL_VARIANTS'!C11</x:f>
        <x:v>BIZ-NOMAD-1785-ET10-6X1397</x:v>
      </x:c>
      <x:c r="F11" s="10" t="str">
        <x:f>'02_WHEEL_VARIANTS'!D11</x:f>
        <x:v>BIZON Nomad 17×8.5 ET10</x:v>
      </x:c>
      <x:c r="G11" s="10" t="str">
        <x:f>'02_WHEEL_VARIANTS'!F11</x:f>
        <x:v>published</x:v>
      </x:c>
      <x:c r="H11" s="10" t="str">
        <x:f>'02_WHEEL_VARIANTS'!E11</x:f>
        <x:v>stock</x:v>
      </x:c>
      <x:c r="I11" s="10" t="b">
        <x:f>'02_WHEEL_VARIANTS'!G11</x:f>
        <x:v>1</x:v>
      </x:c>
      <x:c r="J11" s="24" t="n">
        <x:f>IF('02_WHEEL_VARIANTS'!H11="","",'02_WHEEL_VARIANTS'!H11)</x:f>
        <x:v>133000</x:v>
      </x:c>
      <x:c r="K11" s="10" t="b">
        <x:f>'02_WHEEL_VARIANTS'!I11</x:f>
        <x:v>0</x:v>
      </x:c>
      <x:c r="L11" s="20" t="n">
        <x:f>'02_WHEEL_VARIANTS'!J11</x:f>
        <x:v>5</x:v>
      </x:c>
      <x:c r="M11" s="26" t="n">
        <x:f>'02_WHEEL_VARIANTS'!K11</x:f>
        <x:v>17</x:v>
      </x:c>
      <x:c r="N11" s="26" t="n">
        <x:f>'02_WHEEL_VARIANTS'!L11</x:f>
        <x:v>8.5</x:v>
      </x:c>
      <x:c r="O11" s="28" t="n">
        <x:f>'02_WHEEL_VARIANTS'!M11</x:f>
        <x:v>10</x:v>
      </x:c>
      <x:c r="P11" s="10" t="n">
        <x:f>'02_WHEEL_VARIANTS'!N11</x:f>
        <x:v>6</x:v>
      </x:c>
      <x:c r="Q11" s="20" t="n">
        <x:f>'02_WHEEL_VARIANTS'!O11</x:f>
        <x:v>139.7</x:v>
      </x:c>
      <x:c r="R11" s="10" t="str">
        <x:f>IF('02_WHEEL_VARIANTS'!P11="","",'02_WHEEL_VARIANTS'!P11)</x:f>
      </x:c>
      <x:c r="S11" s="20" t="str">
        <x:f>IF('02_WHEEL_VARIANTS'!Q11="","",'02_WHEEL_VARIANTS'!Q11)</x:f>
      </x:c>
      <x:c r="T11" s="26" t="n">
        <x:f>'02_WHEEL_VARIANTS'!R11</x:f>
        <x:v>106.1</x:v>
      </x:c>
      <x:c r="U11" s="30" t="n">
        <x:f>'02_WHEEL_VARIANTS'!S11</x:f>
        <x:v>1150</x:v>
      </x:c>
      <x:c r="V11" s="10" t="str">
        <x:f>'02_WHEEL_VARIANTS'!T11</x:f>
        <x:v>monoblock</x:v>
      </x:c>
      <x:c r="W11" s="10" t="str">
        <x:f>'06_ATTRIBUTE_VALUES'!H47</x:f>
        <x:v>functional</x:v>
      </x:c>
      <x:c r="X11" s="10" t="str">
        <x:f>'06_ATTRIBUTE_VALUES'!H48</x:f>
        <x:v>concave</x:v>
      </x:c>
      <x:c r="Y11" s="42" t="n">
        <x:f>'06_ATTRIBUTE_VALUES'!F49</x:f>
        <x:v>11.6</x:v>
      </x:c>
      <x:c r="Z11" s="10" t="str">
        <x:f>'06_ATTRIBUTE_VALUES'!H50</x:f>
        <x:v>bronze</x:v>
      </x:c>
      <x:c r="AA11" s="10" t="str">
        <x:f>'06_ATTRIBUTE_VALUES'!H51</x:f>
        <x:v>bronze</x:v>
      </x:c>
      <x:c r="AB11" s="10" t="str">
        <x:f>'02_WHEEL_VARIANTS'!X11</x:f>
        <x:v>internal_demo</x:v>
      </x:c>
      <x:c r="AC11" s="10" t="b">
        <x:f>AND(G11="published",'02_WHEEL_VARIANTS'!AB11=FALSE)</x:f>
        <x:v>1</x:v>
      </x:c>
    </x:row>
    <x:row r="12" ht="15" hidden="0" customHeight="1">
      <x:c r="A12" s="9" t="str">
        <x:f>'02_WHEEL_VARIANTS'!A12</x:f>
        <x:v>BIZON-WHEEL-VAR-NOMAD-189-ET0-6X1397</x:v>
      </x:c>
      <x:c r="B12" s="9" t="str">
        <x:f>'02_WHEEL_VARIANTS'!B12</x:f>
        <x:v>BIZON-WHEEL-MODEL-NOMAD</x:v>
      </x:c>
      <x:c r="C12" s="9" t="str">
        <x:f>'01_WHEEL_MODELS'!C4</x:f>
        <x:v>nomad</x:v>
      </x:c>
      <x:c r="D12" s="9" t="str">
        <x:f>'01_WHEEL_MODELS'!D4</x:f>
        <x:v>BIZON Nomad</x:v>
      </x:c>
      <x:c r="E12" s="9" t="str">
        <x:f>'02_WHEEL_VARIANTS'!C12</x:f>
        <x:v>BIZ-NOMAD-189-ET0-6X1397</x:v>
      </x:c>
      <x:c r="F12" s="9" t="str">
        <x:f>'02_WHEEL_VARIANTS'!D12</x:f>
        <x:v>BIZON Nomad 18×9 ET0</x:v>
      </x:c>
      <x:c r="G12" s="9" t="str">
        <x:f>'02_WHEEL_VARIANTS'!F12</x:f>
        <x:v>published</x:v>
      </x:c>
      <x:c r="H12" s="9" t="str">
        <x:f>'02_WHEEL_VARIANTS'!E12</x:f>
        <x:v>stock</x:v>
      </x:c>
      <x:c r="I12" s="9" t="b">
        <x:f>'02_WHEEL_VARIANTS'!G12</x:f>
        <x:v>1</x:v>
      </x:c>
      <x:c r="J12" s="23" t="n">
        <x:f>IF('02_WHEEL_VARIANTS'!H12="","",'02_WHEEL_VARIANTS'!H12)</x:f>
        <x:v>148000</x:v>
      </x:c>
      <x:c r="K12" s="9" t="b">
        <x:f>'02_WHEEL_VARIANTS'!I12</x:f>
        <x:v>0</x:v>
      </x:c>
      <x:c r="L12" s="19" t="n">
        <x:f>'02_WHEEL_VARIANTS'!J12</x:f>
        <x:v>6</x:v>
      </x:c>
      <x:c r="M12" s="25" t="n">
        <x:f>'02_WHEEL_VARIANTS'!K12</x:f>
        <x:v>18</x:v>
      </x:c>
      <x:c r="N12" s="25" t="n">
        <x:f>'02_WHEEL_VARIANTS'!L12</x:f>
        <x:v>9</x:v>
      </x:c>
      <x:c r="O12" s="27" t="n">
        <x:f>'02_WHEEL_VARIANTS'!M12</x:f>
        <x:v>0</x:v>
      </x:c>
      <x:c r="P12" s="9" t="n">
        <x:f>'02_WHEEL_VARIANTS'!N12</x:f>
        <x:v>6</x:v>
      </x:c>
      <x:c r="Q12" s="19" t="n">
        <x:f>'02_WHEEL_VARIANTS'!O12</x:f>
        <x:v>139.7</x:v>
      </x:c>
      <x:c r="R12" s="9" t="str">
        <x:f>IF('02_WHEEL_VARIANTS'!P12="","",'02_WHEEL_VARIANTS'!P12)</x:f>
      </x:c>
      <x:c r="S12" s="19" t="str">
        <x:f>IF('02_WHEEL_VARIANTS'!Q12="","",'02_WHEEL_VARIANTS'!Q12)</x:f>
      </x:c>
      <x:c r="T12" s="25" t="n">
        <x:f>'02_WHEEL_VARIANTS'!R12</x:f>
        <x:v>106.1</x:v>
      </x:c>
      <x:c r="U12" s="29" t="n">
        <x:f>'02_WHEEL_VARIANTS'!S12</x:f>
        <x:v>1200</x:v>
      </x:c>
      <x:c r="V12" s="9" t="str">
        <x:f>'02_WHEEL_VARIANTS'!T12</x:f>
        <x:v>monoblock</x:v>
      </x:c>
      <x:c r="W12" s="9" t="str">
        <x:f>'06_ATTRIBUTE_VALUES'!H52</x:f>
        <x:v>functional</x:v>
      </x:c>
      <x:c r="X12" s="9" t="str">
        <x:f>'06_ATTRIBUTE_VALUES'!H53</x:f>
        <x:v>deep_concave</x:v>
      </x:c>
      <x:c r="Y12" s="41" t="n">
        <x:f>'06_ATTRIBUTE_VALUES'!F54</x:f>
        <x:v>12.7</x:v>
      </x:c>
      <x:c r="Z12" s="9" t="str">
        <x:f>'06_ATTRIBUTE_VALUES'!H55</x:f>
        <x:v>bronze</x:v>
      </x:c>
      <x:c r="AA12" s="9" t="str">
        <x:f>'06_ATTRIBUTE_VALUES'!H56</x:f>
        <x:v>bronze</x:v>
      </x:c>
      <x:c r="AB12" s="9" t="str">
        <x:f>'02_WHEEL_VARIANTS'!X12</x:f>
        <x:v>internal_demo</x:v>
      </x:c>
      <x:c r="AC12" s="9" t="b">
        <x:f>AND(G12="published",'02_WHEEL_VARIANTS'!AB12=FALSE)</x:f>
        <x:v>1</x:v>
      </x:c>
    </x:row>
    <x:row r="13" ht="15" hidden="0" customHeight="1">
      <x:c r="A13" s="10" t="str">
        <x:f>'02_WHEEL_VARIANTS'!A13</x:f>
        <x:v>BIZON-WHEEL-VAR-NOMAD-189-ET18-6X1397</x:v>
      </x:c>
      <x:c r="B13" s="10" t="str">
        <x:f>'02_WHEEL_VARIANTS'!B13</x:f>
        <x:v>BIZON-WHEEL-MODEL-NOMAD</x:v>
      </x:c>
      <x:c r="C13" s="10" t="str">
        <x:f>'01_WHEEL_MODELS'!C4</x:f>
        <x:v>nomad</x:v>
      </x:c>
      <x:c r="D13" s="10" t="str">
        <x:f>'01_WHEEL_MODELS'!D4</x:f>
        <x:v>BIZON Nomad</x:v>
      </x:c>
      <x:c r="E13" s="10" t="str">
        <x:f>'02_WHEEL_VARIANTS'!C13</x:f>
        <x:v>BIZ-NOMAD-189-ET18-6X1397</x:v>
      </x:c>
      <x:c r="F13" s="10" t="str">
        <x:f>'02_WHEEL_VARIANTS'!D13</x:f>
        <x:v>BIZON Nomad 18×9 ET18</x:v>
      </x:c>
      <x:c r="G13" s="10" t="str">
        <x:f>'02_WHEEL_VARIANTS'!F13</x:f>
        <x:v>published</x:v>
      </x:c>
      <x:c r="H13" s="10" t="str">
        <x:f>'02_WHEEL_VARIANTS'!E13</x:f>
        <x:v>made_to_order</x:v>
      </x:c>
      <x:c r="I13" s="10" t="b">
        <x:f>'02_WHEEL_VARIANTS'!G13</x:f>
        <x:v>0</x:v>
      </x:c>
      <x:c r="J13" s="24" t="str">
        <x:f>IF('02_WHEEL_VARIANTS'!H13="","",'02_WHEEL_VARIANTS'!H13)</x:f>
      </x:c>
      <x:c r="K13" s="10" t="b">
        <x:f>'02_WHEEL_VARIANTS'!I13</x:f>
        <x:v>1</x:v>
      </x:c>
      <x:c r="L13" s="20" t="n">
        <x:f>'02_WHEEL_VARIANTS'!J13</x:f>
        <x:v>28</x:v>
      </x:c>
      <x:c r="M13" s="26" t="n">
        <x:f>'02_WHEEL_VARIANTS'!K13</x:f>
        <x:v>18</x:v>
      </x:c>
      <x:c r="N13" s="26" t="n">
        <x:f>'02_WHEEL_VARIANTS'!L13</x:f>
        <x:v>9</x:v>
      </x:c>
      <x:c r="O13" s="28" t="n">
        <x:f>'02_WHEEL_VARIANTS'!M13</x:f>
        <x:v>18</x:v>
      </x:c>
      <x:c r="P13" s="10" t="n">
        <x:f>'02_WHEEL_VARIANTS'!N13</x:f>
        <x:v>6</x:v>
      </x:c>
      <x:c r="Q13" s="20" t="n">
        <x:f>'02_WHEEL_VARIANTS'!O13</x:f>
        <x:v>139.7</x:v>
      </x:c>
      <x:c r="R13" s="10" t="str">
        <x:f>IF('02_WHEEL_VARIANTS'!P13="","",'02_WHEEL_VARIANTS'!P13)</x:f>
      </x:c>
      <x:c r="S13" s="20" t="str">
        <x:f>IF('02_WHEEL_VARIANTS'!Q13="","",'02_WHEEL_VARIANTS'!Q13)</x:f>
      </x:c>
      <x:c r="T13" s="26" t="n">
        <x:f>'02_WHEEL_VARIANTS'!R13</x:f>
        <x:v>106.1</x:v>
      </x:c>
      <x:c r="U13" s="30" t="n">
        <x:f>'02_WHEEL_VARIANTS'!S13</x:f>
        <x:v>1150</x:v>
      </x:c>
      <x:c r="V13" s="10" t="str">
        <x:f>'02_WHEEL_VARIANTS'!T13</x:f>
        <x:v>two_piece</x:v>
      </x:c>
      <x:c r="W13" s="10" t="str">
        <x:f>'06_ATTRIBUTE_VALUES'!H57</x:f>
        <x:v>simulated</x:v>
      </x:c>
      <x:c r="X13" s="10" t="str">
        <x:f>'06_ATTRIBUTE_VALUES'!H58</x:f>
        <x:v>concave</x:v>
      </x:c>
      <x:c r="Y13" s="42" t="n">
        <x:f>'06_ATTRIBUTE_VALUES'!F59</x:f>
        <x:v>14.1</x:v>
      </x:c>
      <x:c r="Z13" s="10" t="str">
        <x:f>'06_ATTRIBUTE_VALUES'!H60</x:f>
        <x:v>satin_black</x:v>
      </x:c>
      <x:c r="AA13" s="10" t="str">
        <x:f>'06_ATTRIBUTE_VALUES'!H61</x:f>
        <x:v>black</x:v>
      </x:c>
      <x:c r="AB13" s="10" t="str">
        <x:f>'02_WHEEL_VARIANTS'!X13</x:f>
        <x:v>internal_demo</x:v>
      </x:c>
      <x:c r="AC13" s="10" t="b">
        <x:f>AND(G13="published",'02_WHEEL_VARIANTS'!AB13=FALSE)</x:f>
        <x:v>1</x:v>
      </x:c>
    </x:row>
    <x:row r="14" ht="15" hidden="0" customHeight="1">
      <x:c r="A14" s="9" t="str">
        <x:f>'02_WHEEL_VARIANTS'!A14</x:f>
        <x:v>BIZON-WHEEL-VAR-NOMAD-209-ET25-6X1397</x:v>
      </x:c>
      <x:c r="B14" s="9" t="str">
        <x:f>'02_WHEEL_VARIANTS'!B14</x:f>
        <x:v>BIZON-WHEEL-MODEL-NOMAD</x:v>
      </x:c>
      <x:c r="C14" s="9" t="str">
        <x:f>'01_WHEEL_MODELS'!C4</x:f>
        <x:v>nomad</x:v>
      </x:c>
      <x:c r="D14" s="9" t="str">
        <x:f>'01_WHEEL_MODELS'!D4</x:f>
        <x:v>BIZON Nomad</x:v>
      </x:c>
      <x:c r="E14" s="9" t="str">
        <x:f>'02_WHEEL_VARIANTS'!C14</x:f>
        <x:v>BIZ-NOMAD-209-ET25-6X1397</x:v>
      </x:c>
      <x:c r="F14" s="9" t="str">
        <x:f>'02_WHEEL_VARIANTS'!D14</x:f>
        <x:v>BIZON Nomad 20×9 ET25</x:v>
      </x:c>
      <x:c r="G14" s="9" t="str">
        <x:f>'02_WHEEL_VARIANTS'!F14</x:f>
        <x:v>published</x:v>
      </x:c>
      <x:c r="H14" s="9" t="str">
        <x:f>'02_WHEEL_VARIANTS'!E14</x:f>
        <x:v>stock</x:v>
      </x:c>
      <x:c r="I14" s="9" t="b">
        <x:f>'02_WHEEL_VARIANTS'!G14</x:f>
        <x:v>1</x:v>
      </x:c>
      <x:c r="J14" s="23" t="n">
        <x:f>IF('02_WHEEL_VARIANTS'!H14="","",'02_WHEEL_VARIANTS'!H14)</x:f>
        <x:v>172000</x:v>
      </x:c>
      <x:c r="K14" s="9" t="b">
        <x:f>'02_WHEEL_VARIANTS'!I14</x:f>
        <x:v>0</x:v>
      </x:c>
      <x:c r="L14" s="19" t="n">
        <x:f>'02_WHEEL_VARIANTS'!J14</x:f>
        <x:v>7</x:v>
      </x:c>
      <x:c r="M14" s="25" t="n">
        <x:f>'02_WHEEL_VARIANTS'!K14</x:f>
        <x:v>20</x:v>
      </x:c>
      <x:c r="N14" s="25" t="n">
        <x:f>'02_WHEEL_VARIANTS'!L14</x:f>
        <x:v>9</x:v>
      </x:c>
      <x:c r="O14" s="27" t="n">
        <x:f>'02_WHEEL_VARIANTS'!M14</x:f>
        <x:v>25</x:v>
      </x:c>
      <x:c r="P14" s="9" t="n">
        <x:f>'02_WHEEL_VARIANTS'!N14</x:f>
        <x:v>6</x:v>
      </x:c>
      <x:c r="Q14" s="19" t="n">
        <x:f>'02_WHEEL_VARIANTS'!O14</x:f>
        <x:v>139.7</x:v>
      </x:c>
      <x:c r="R14" s="9" t="str">
        <x:f>IF('02_WHEEL_VARIANTS'!P14="","",'02_WHEEL_VARIANTS'!P14)</x:f>
      </x:c>
      <x:c r="S14" s="19" t="str">
        <x:f>IF('02_WHEEL_VARIANTS'!Q14="","",'02_WHEEL_VARIANTS'!Q14)</x:f>
      </x:c>
      <x:c r="T14" s="25" t="n">
        <x:f>'02_WHEEL_VARIANTS'!R14</x:f>
        <x:v>106.1</x:v>
      </x:c>
      <x:c r="U14" s="29" t="n">
        <x:f>'02_WHEEL_VARIANTS'!S14</x:f>
        <x:v>1100</x:v>
      </x:c>
      <x:c r="V14" s="9" t="str">
        <x:f>'02_WHEEL_VARIANTS'!T14</x:f>
        <x:v>monoblock</x:v>
      </x:c>
      <x:c r="W14" s="9" t="str">
        <x:f>'06_ATTRIBUTE_VALUES'!H62</x:f>
        <x:v>none</x:v>
      </x:c>
      <x:c r="X14" s="9" t="str">
        <x:f>'06_ATTRIBUTE_VALUES'!H63</x:f>
        <x:v>concave</x:v>
      </x:c>
      <x:c r="Y14" s="41" t="n">
        <x:f>'06_ATTRIBUTE_VALUES'!F64</x:f>
        <x:v>13.8</x:v>
      </x:c>
      <x:c r="Z14" s="9" t="str">
        <x:f>'06_ATTRIBUTE_VALUES'!H65</x:f>
        <x:v>bronze</x:v>
      </x:c>
      <x:c r="AA14" s="9" t="str">
        <x:f>'06_ATTRIBUTE_VALUES'!H66</x:f>
        <x:v>bronze</x:v>
      </x:c>
      <x:c r="AB14" s="9" t="str">
        <x:f>'02_WHEEL_VARIANTS'!X14</x:f>
        <x:v>internal_demo</x:v>
      </x:c>
      <x:c r="AC14" s="9" t="b">
        <x:f>AND(G14="published",'02_WHEEL_VARIANTS'!AB14=FALSE)</x:f>
        <x:v>1</x:v>
      </x:c>
    </x:row>
    <x:row r="15" ht="15" hidden="0" customHeight="1">
      <x:c r="A15" s="10" t="str">
        <x:f>'02_WHEEL_VARIANTS'!A15</x:f>
        <x:v>BIZON-WHEEL-VAR-EMBER-189-ET25-5X1143</x:v>
      </x:c>
      <x:c r="B15" s="10" t="str">
        <x:f>'02_WHEEL_VARIANTS'!B15</x:f>
        <x:v>BIZON-WHEEL-MODEL-EMBER</x:v>
      </x:c>
      <x:c r="C15" s="10" t="str">
        <x:f>'01_WHEEL_MODELS'!C5</x:f>
        <x:v>ember</x:v>
      </x:c>
      <x:c r="D15" s="10" t="str">
        <x:f>'01_WHEEL_MODELS'!D5</x:f>
        <x:v>BIZON Ember</x:v>
      </x:c>
      <x:c r="E15" s="10" t="str">
        <x:f>'02_WHEEL_VARIANTS'!C15</x:f>
        <x:v>BIZ-EMBER-189-ET25-5X1143</x:v>
      </x:c>
      <x:c r="F15" s="10" t="str">
        <x:f>'02_WHEEL_VARIANTS'!D15</x:f>
        <x:v>BIZON Ember 18×9 ET25</x:v>
      </x:c>
      <x:c r="G15" s="10" t="str">
        <x:f>'02_WHEEL_VARIANTS'!F15</x:f>
        <x:v>published</x:v>
      </x:c>
      <x:c r="H15" s="10" t="str">
        <x:f>'02_WHEEL_VARIANTS'!E15</x:f>
        <x:v>stock</x:v>
      </x:c>
      <x:c r="I15" s="10" t="b">
        <x:f>'02_WHEEL_VARIANTS'!G15</x:f>
        <x:v>1</x:v>
      </x:c>
      <x:c r="J15" s="24" t="n">
        <x:f>IF('02_WHEEL_VARIANTS'!H15="","",'02_WHEEL_VARIANTS'!H15)</x:f>
        <x:v>132000</x:v>
      </x:c>
      <x:c r="K15" s="10" t="b">
        <x:f>'02_WHEEL_VARIANTS'!I15</x:f>
        <x:v>0</x:v>
      </x:c>
      <x:c r="L15" s="20" t="n">
        <x:f>'02_WHEEL_VARIANTS'!J15</x:f>
        <x:v>6</x:v>
      </x:c>
      <x:c r="M15" s="26" t="n">
        <x:f>'02_WHEEL_VARIANTS'!K15</x:f>
        <x:v>18</x:v>
      </x:c>
      <x:c r="N15" s="26" t="n">
        <x:f>'02_WHEEL_VARIANTS'!L15</x:f>
        <x:v>9</x:v>
      </x:c>
      <x:c r="O15" s="28" t="n">
        <x:f>'02_WHEEL_VARIANTS'!M15</x:f>
        <x:v>25</x:v>
      </x:c>
      <x:c r="P15" s="10" t="n">
        <x:f>'02_WHEEL_VARIANTS'!N15</x:f>
        <x:v>5</x:v>
      </x:c>
      <x:c r="Q15" s="20" t="n">
        <x:f>'02_WHEEL_VARIANTS'!O15</x:f>
        <x:v>114.3</x:v>
      </x:c>
      <x:c r="R15" s="10" t="str">
        <x:f>IF('02_WHEEL_VARIANTS'!P15="","",'02_WHEEL_VARIANTS'!P15)</x:f>
      </x:c>
      <x:c r="S15" s="20" t="str">
        <x:f>IF('02_WHEEL_VARIANTS'!Q15="","",'02_WHEEL_VARIANTS'!Q15)</x:f>
      </x:c>
      <x:c r="T15" s="26" t="n">
        <x:f>'02_WHEEL_VARIANTS'!R15</x:f>
        <x:v>66.1</x:v>
      </x:c>
      <x:c r="U15" s="30" t="n">
        <x:f>'02_WHEEL_VARIANTS'!S15</x:f>
        <x:v>760</x:v>
      </x:c>
      <x:c r="V15" s="10" t="str">
        <x:f>'02_WHEEL_VARIANTS'!T15</x:f>
        <x:v>monoblock</x:v>
      </x:c>
      <x:c r="W15" s="10" t="str">
        <x:f>'06_ATTRIBUTE_VALUES'!H67</x:f>
        <x:v>none</x:v>
      </x:c>
      <x:c r="X15" s="10" t="str">
        <x:f>'06_ATTRIBUTE_VALUES'!H68</x:f>
        <x:v>concave</x:v>
      </x:c>
      <x:c r="Y15" s="42" t="n">
        <x:f>'06_ATTRIBUTE_VALUES'!F69</x:f>
        <x:v>9.4</x:v>
      </x:c>
      <x:c r="Z15" s="10" t="str">
        <x:f>'06_ATTRIBUTE_VALUES'!H70</x:f>
        <x:v>red</x:v>
      </x:c>
      <x:c r="AA15" s="10" t="str">
        <x:f>'06_ATTRIBUTE_VALUES'!H71</x:f>
        <x:v>red</x:v>
      </x:c>
      <x:c r="AB15" s="10" t="str">
        <x:f>'02_WHEEL_VARIANTS'!X15</x:f>
        <x:v>internal_demo</x:v>
      </x:c>
      <x:c r="AC15" s="10" t="b">
        <x:f>AND(G15="published",'02_WHEEL_VARIANTS'!AB15=FALSE)</x:f>
        <x:v>1</x:v>
      </x:c>
    </x:row>
    <x:row r="16" ht="15" hidden="0" customHeight="1">
      <x:c r="A16" s="9" t="str">
        <x:f>'02_WHEEL_VARIANTS'!A16</x:f>
        <x:v>BIZON-WHEEL-VAR-EMBER-1810-ET38-5X1143</x:v>
      </x:c>
      <x:c r="B16" s="9" t="str">
        <x:f>'02_WHEEL_VARIANTS'!B16</x:f>
        <x:v>BIZON-WHEEL-MODEL-EMBER</x:v>
      </x:c>
      <x:c r="C16" s="9" t="str">
        <x:f>'01_WHEEL_MODELS'!C5</x:f>
        <x:v>ember</x:v>
      </x:c>
      <x:c r="D16" s="9" t="str">
        <x:f>'01_WHEEL_MODELS'!D5</x:f>
        <x:v>BIZON Ember</x:v>
      </x:c>
      <x:c r="E16" s="9" t="str">
        <x:f>'02_WHEEL_VARIANTS'!C16</x:f>
        <x:v>BIZ-EMBER-1810-ET38-5X1143</x:v>
      </x:c>
      <x:c r="F16" s="9" t="str">
        <x:f>'02_WHEEL_VARIANTS'!D16</x:f>
        <x:v>BIZON Ember 18×10 ET38</x:v>
      </x:c>
      <x:c r="G16" s="9" t="str">
        <x:f>'02_WHEEL_VARIANTS'!F16</x:f>
        <x:v>published</x:v>
      </x:c>
      <x:c r="H16" s="9" t="str">
        <x:f>'02_WHEEL_VARIANTS'!E16</x:f>
        <x:v>made_to_order</x:v>
      </x:c>
      <x:c r="I16" s="9" t="b">
        <x:f>'02_WHEEL_VARIANTS'!G16</x:f>
        <x:v>0</x:v>
      </x:c>
      <x:c r="J16" s="23" t="str">
        <x:f>IF('02_WHEEL_VARIANTS'!H16="","",'02_WHEEL_VARIANTS'!H16)</x:f>
      </x:c>
      <x:c r="K16" s="9" t="b">
        <x:f>'02_WHEEL_VARIANTS'!I16</x:f>
        <x:v>1</x:v>
      </x:c>
      <x:c r="L16" s="19" t="n">
        <x:f>'02_WHEEL_VARIANTS'!J16</x:f>
        <x:v>25</x:v>
      </x:c>
      <x:c r="M16" s="25" t="n">
        <x:f>'02_WHEEL_VARIANTS'!K16</x:f>
        <x:v>18</x:v>
      </x:c>
      <x:c r="N16" s="25" t="n">
        <x:f>'02_WHEEL_VARIANTS'!L16</x:f>
        <x:v>10</x:v>
      </x:c>
      <x:c r="O16" s="27" t="n">
        <x:f>'02_WHEEL_VARIANTS'!M16</x:f>
        <x:v>38</x:v>
      </x:c>
      <x:c r="P16" s="9" t="n">
        <x:f>'02_WHEEL_VARIANTS'!N16</x:f>
        <x:v>5</x:v>
      </x:c>
      <x:c r="Q16" s="19" t="n">
        <x:f>'02_WHEEL_VARIANTS'!O16</x:f>
        <x:v>114.3</x:v>
      </x:c>
      <x:c r="R16" s="9" t="str">
        <x:f>IF('02_WHEEL_VARIANTS'!P16="","",'02_WHEEL_VARIANTS'!P16)</x:f>
      </x:c>
      <x:c r="S16" s="19" t="str">
        <x:f>IF('02_WHEEL_VARIANTS'!Q16="","",'02_WHEEL_VARIANTS'!Q16)</x:f>
      </x:c>
      <x:c r="T16" s="25" t="n">
        <x:f>'02_WHEEL_VARIANTS'!R16</x:f>
        <x:v>66.1</x:v>
      </x:c>
      <x:c r="U16" s="29" t="n">
        <x:f>'02_WHEEL_VARIANTS'!S16</x:f>
        <x:v>780</x:v>
      </x:c>
      <x:c r="V16" s="9" t="str">
        <x:f>'02_WHEEL_VARIANTS'!T16</x:f>
        <x:v>two_piece</x:v>
      </x:c>
      <x:c r="W16" s="9" t="str">
        <x:f>'06_ATTRIBUTE_VALUES'!H72</x:f>
        <x:v>none</x:v>
      </x:c>
      <x:c r="X16" s="9" t="str">
        <x:f>'06_ATTRIBUTE_VALUES'!H73</x:f>
        <x:v>deep_concave</x:v>
      </x:c>
      <x:c r="Y16" s="41" t="n">
        <x:f>'06_ATTRIBUTE_VALUES'!F74</x:f>
        <x:v>11.2</x:v>
      </x:c>
      <x:c r="Z16" s="9" t="str">
        <x:f>'06_ATTRIBUTE_VALUES'!H75</x:f>
        <x:v>red</x:v>
      </x:c>
      <x:c r="AA16" s="9" t="str">
        <x:f>'06_ATTRIBUTE_VALUES'!H76</x:f>
        <x:v>red</x:v>
      </x:c>
      <x:c r="AB16" s="9" t="str">
        <x:f>'02_WHEEL_VARIANTS'!X16</x:f>
        <x:v>internal_demo</x:v>
      </x:c>
      <x:c r="AC16" s="9" t="b">
        <x:f>AND(G16="published",'02_WHEEL_VARIANTS'!AB16=FALSE)</x:f>
        <x:v>1</x:v>
      </x:c>
    </x:row>
    <x:row r="17" ht="15" hidden="0" customHeight="1">
      <x:c r="A17" s="10" t="str">
        <x:f>'02_WHEEL_VARIANTS'!A17</x:f>
        <x:v>BIZON-WHEEL-VAR-EMBER-1995-ET22-5X1143</x:v>
      </x:c>
      <x:c r="B17" s="10" t="str">
        <x:f>'02_WHEEL_VARIANTS'!B17</x:f>
        <x:v>BIZON-WHEEL-MODEL-EMBER</x:v>
      </x:c>
      <x:c r="C17" s="10" t="str">
        <x:f>'01_WHEEL_MODELS'!C5</x:f>
        <x:v>ember</x:v>
      </x:c>
      <x:c r="D17" s="10" t="str">
        <x:f>'01_WHEEL_MODELS'!D5</x:f>
        <x:v>BIZON Ember</x:v>
      </x:c>
      <x:c r="E17" s="10" t="str">
        <x:f>'02_WHEEL_VARIANTS'!C17</x:f>
        <x:v>BIZ-EMBER-1995-ET22-5X1143</x:v>
      </x:c>
      <x:c r="F17" s="10" t="str">
        <x:f>'02_WHEEL_VARIANTS'!D17</x:f>
        <x:v>BIZON Ember 19×9.5 ET22</x:v>
      </x:c>
      <x:c r="G17" s="10" t="str">
        <x:f>'02_WHEEL_VARIANTS'!F17</x:f>
        <x:v>published</x:v>
      </x:c>
      <x:c r="H17" s="10" t="str">
        <x:f>'02_WHEEL_VARIANTS'!E17</x:f>
        <x:v>stock</x:v>
      </x:c>
      <x:c r="I17" s="10" t="b">
        <x:f>'02_WHEEL_VARIANTS'!G17</x:f>
        <x:v>1</x:v>
      </x:c>
      <x:c r="J17" s="24" t="n">
        <x:f>IF('02_WHEEL_VARIANTS'!H17="","",'02_WHEEL_VARIANTS'!H17)</x:f>
        <x:v>149000</x:v>
      </x:c>
      <x:c r="K17" s="10" t="b">
        <x:f>'02_WHEEL_VARIANTS'!I17</x:f>
        <x:v>0</x:v>
      </x:c>
      <x:c r="L17" s="20" t="n">
        <x:f>'02_WHEEL_VARIANTS'!J17</x:f>
        <x:v>7</x:v>
      </x:c>
      <x:c r="M17" s="26" t="n">
        <x:f>'02_WHEEL_VARIANTS'!K17</x:f>
        <x:v>19</x:v>
      </x:c>
      <x:c r="N17" s="26" t="n">
        <x:f>'02_WHEEL_VARIANTS'!L17</x:f>
        <x:v>9.5</x:v>
      </x:c>
      <x:c r="O17" s="28" t="n">
        <x:f>'02_WHEEL_VARIANTS'!M17</x:f>
        <x:v>22</x:v>
      </x:c>
      <x:c r="P17" s="10" t="n">
        <x:f>'02_WHEEL_VARIANTS'!N17</x:f>
        <x:v>5</x:v>
      </x:c>
      <x:c r="Q17" s="20" t="n">
        <x:f>'02_WHEEL_VARIANTS'!O17</x:f>
        <x:v>114.3</x:v>
      </x:c>
      <x:c r="R17" s="10" t="str">
        <x:f>IF('02_WHEEL_VARIANTS'!P17="","",'02_WHEEL_VARIANTS'!P17)</x:f>
      </x:c>
      <x:c r="S17" s="20" t="str">
        <x:f>IF('02_WHEEL_VARIANTS'!Q17="","",'02_WHEEL_VARIANTS'!Q17)</x:f>
      </x:c>
      <x:c r="T17" s="26" t="n">
        <x:f>'02_WHEEL_VARIANTS'!R17</x:f>
        <x:v>66.1</x:v>
      </x:c>
      <x:c r="U17" s="30" t="n">
        <x:f>'02_WHEEL_VARIANTS'!S17</x:f>
        <x:v>790</x:v>
      </x:c>
      <x:c r="V17" s="10" t="str">
        <x:f>'02_WHEEL_VARIANTS'!T17</x:f>
        <x:v>monoblock</x:v>
      </x:c>
      <x:c r="W17" s="10" t="str">
        <x:f>'06_ATTRIBUTE_VALUES'!H77</x:f>
        <x:v>none</x:v>
      </x:c>
      <x:c r="X17" s="10" t="str">
        <x:f>'06_ATTRIBUTE_VALUES'!H78</x:f>
        <x:v>concave</x:v>
      </x:c>
      <x:c r="Y17" s="42" t="n">
        <x:f>'06_ATTRIBUTE_VALUES'!F79</x:f>
        <x:v>10.1</x:v>
      </x:c>
      <x:c r="Z17" s="10" t="str">
        <x:f>'06_ATTRIBUTE_VALUES'!H80</x:f>
        <x:v>red</x:v>
      </x:c>
      <x:c r="AA17" s="10" t="str">
        <x:f>'06_ATTRIBUTE_VALUES'!H81</x:f>
        <x:v>red</x:v>
      </x:c>
      <x:c r="AB17" s="10" t="str">
        <x:f>'02_WHEEL_VARIANTS'!X17</x:f>
        <x:v>internal_demo</x:v>
      </x:c>
      <x:c r="AC17" s="10" t="b">
        <x:f>AND(G17="published",'02_WHEEL_VARIANTS'!AB17=FALSE)</x:f>
        <x:v>1</x:v>
      </x:c>
    </x:row>
    <x:row r="18" ht="15" hidden="0" customHeight="1">
      <x:c r="A18" s="9" t="str">
        <x:f>'02_WHEEL_VARIANTS'!A18</x:f>
        <x:v>BIZON-WHEEL-VAR-EMBER-19105-ET35-5X1143</x:v>
      </x:c>
      <x:c r="B18" s="9" t="str">
        <x:f>'02_WHEEL_VARIANTS'!B18</x:f>
        <x:v>BIZON-WHEEL-MODEL-EMBER</x:v>
      </x:c>
      <x:c r="C18" s="9" t="str">
        <x:f>'01_WHEEL_MODELS'!C5</x:f>
        <x:v>ember</x:v>
      </x:c>
      <x:c r="D18" s="9" t="str">
        <x:f>'01_WHEEL_MODELS'!D5</x:f>
        <x:v>BIZON Ember</x:v>
      </x:c>
      <x:c r="E18" s="9" t="str">
        <x:f>'02_WHEEL_VARIANTS'!C18</x:f>
        <x:v>BIZ-EMBER-19105-ET35-5X1143</x:v>
      </x:c>
      <x:c r="F18" s="9" t="str">
        <x:f>'02_WHEEL_VARIANTS'!D18</x:f>
        <x:v>BIZON Ember 19×10.5 ET35</x:v>
      </x:c>
      <x:c r="G18" s="9" t="str">
        <x:f>'02_WHEEL_VARIANTS'!F18</x:f>
        <x:v>published</x:v>
      </x:c>
      <x:c r="H18" s="9" t="str">
        <x:f>'02_WHEEL_VARIANTS'!E18</x:f>
        <x:v>made_to_order</x:v>
      </x:c>
      <x:c r="I18" s="9" t="b">
        <x:f>'02_WHEEL_VARIANTS'!G18</x:f>
        <x:v>0</x:v>
      </x:c>
      <x:c r="J18" s="23" t="str">
        <x:f>IF('02_WHEEL_VARIANTS'!H18="","",'02_WHEEL_VARIANTS'!H18)</x:f>
      </x:c>
      <x:c r="K18" s="9" t="b">
        <x:f>'02_WHEEL_VARIANTS'!I18</x:f>
        <x:v>1</x:v>
      </x:c>
      <x:c r="L18" s="19" t="n">
        <x:f>'02_WHEEL_VARIANTS'!J18</x:f>
        <x:v>28</x:v>
      </x:c>
      <x:c r="M18" s="25" t="n">
        <x:f>'02_WHEEL_VARIANTS'!K18</x:f>
        <x:v>19</x:v>
      </x:c>
      <x:c r="N18" s="25" t="n">
        <x:f>'02_WHEEL_VARIANTS'!L18</x:f>
        <x:v>10.5</x:v>
      </x:c>
      <x:c r="O18" s="27" t="n">
        <x:f>'02_WHEEL_VARIANTS'!M18</x:f>
        <x:v>35</x:v>
      </x:c>
      <x:c r="P18" s="9" t="n">
        <x:f>'02_WHEEL_VARIANTS'!N18</x:f>
        <x:v>5</x:v>
      </x:c>
      <x:c r="Q18" s="19" t="n">
        <x:f>'02_WHEEL_VARIANTS'!O18</x:f>
        <x:v>114.3</x:v>
      </x:c>
      <x:c r="R18" s="9" t="str">
        <x:f>IF('02_WHEEL_VARIANTS'!P18="","",'02_WHEEL_VARIANTS'!P18)</x:f>
      </x:c>
      <x:c r="S18" s="19" t="str">
        <x:f>IF('02_WHEEL_VARIANTS'!Q18="","",'02_WHEEL_VARIANTS'!Q18)</x:f>
      </x:c>
      <x:c r="T18" s="25" t="n">
        <x:f>'02_WHEEL_VARIANTS'!R18</x:f>
        <x:v>66.1</x:v>
      </x:c>
      <x:c r="U18" s="29" t="n">
        <x:f>'02_WHEEL_VARIANTS'!S18</x:f>
        <x:v>820</x:v>
      </x:c>
      <x:c r="V18" s="9" t="str">
        <x:f>'02_WHEEL_VARIANTS'!T18</x:f>
        <x:v>three_piece</x:v>
      </x:c>
      <x:c r="W18" s="9" t="str">
        <x:f>'06_ATTRIBUTE_VALUES'!H82</x:f>
        <x:v>none</x:v>
      </x:c>
      <x:c r="X18" s="9" t="str">
        <x:f>'06_ATTRIBUTE_VALUES'!H83</x:f>
        <x:v>deep_concave</x:v>
      </x:c>
      <x:c r="Y18" s="41" t="n">
        <x:f>'06_ATTRIBUTE_VALUES'!F84</x:f>
        <x:v>12.8</x:v>
      </x:c>
      <x:c r="Z18" s="9" t="str">
        <x:f>'06_ATTRIBUTE_VALUES'!H85</x:f>
        <x:v>red</x:v>
      </x:c>
      <x:c r="AA18" s="9" t="str">
        <x:f>'06_ATTRIBUTE_VALUES'!H86</x:f>
        <x:v>red</x:v>
      </x:c>
      <x:c r="AB18" s="9" t="str">
        <x:f>'02_WHEEL_VARIANTS'!X18</x:f>
        <x:v>internal_demo</x:v>
      </x:c>
      <x:c r="AC18" s="9" t="b">
        <x:f>AND(G18="published",'02_WHEEL_VARIANTS'!AB18=FALSE)</x:f>
        <x:v>1</x:v>
      </x:c>
    </x:row>
    <x:row r="19" ht="15" hidden="0" customHeight="1">
      <x:c r="A19" s="10" t="str">
        <x:f>'02_WHEEL_VARIANTS'!A19</x:f>
        <x:v>BIZON-WHEEL-VAR-BASTION-179-ETM12-5X127</x:v>
      </x:c>
      <x:c r="B19" s="10" t="str">
        <x:f>'02_WHEEL_VARIANTS'!B19</x:f>
        <x:v>BIZON-WHEEL-MODEL-BASTION</x:v>
      </x:c>
      <x:c r="C19" s="10" t="str">
        <x:f>'01_WHEEL_MODELS'!C6</x:f>
        <x:v>bastion</x:v>
      </x:c>
      <x:c r="D19" s="10" t="str">
        <x:f>'01_WHEEL_MODELS'!D6</x:f>
        <x:v>BIZON Bastion</x:v>
      </x:c>
      <x:c r="E19" s="10" t="str">
        <x:f>'02_WHEEL_VARIANTS'!C19</x:f>
        <x:v>BIZ-BASTION-179-ETM12-5X127</x:v>
      </x:c>
      <x:c r="F19" s="10" t="str">
        <x:f>'02_WHEEL_VARIANTS'!D19</x:f>
        <x:v>BIZON Bastion 17×9 ET−12</x:v>
      </x:c>
      <x:c r="G19" s="10" t="str">
        <x:f>'02_WHEEL_VARIANTS'!F19</x:f>
        <x:v>published</x:v>
      </x:c>
      <x:c r="H19" s="10" t="str">
        <x:f>'02_WHEEL_VARIANTS'!E19</x:f>
        <x:v>stock</x:v>
      </x:c>
      <x:c r="I19" s="10" t="b">
        <x:f>'02_WHEEL_VARIANTS'!G19</x:f>
        <x:v>1</x:v>
      </x:c>
      <x:c r="J19" s="24" t="n">
        <x:f>IF('02_WHEEL_VARIANTS'!H19="","",'02_WHEEL_VARIANTS'!H19)</x:f>
        <x:v>146000</x:v>
      </x:c>
      <x:c r="K19" s="10" t="b">
        <x:f>'02_WHEEL_VARIANTS'!I19</x:f>
        <x:v>0</x:v>
      </x:c>
      <x:c r="L19" s="20" t="n">
        <x:f>'02_WHEEL_VARIANTS'!J19</x:f>
        <x:v>6</x:v>
      </x:c>
      <x:c r="M19" s="26" t="n">
        <x:f>'02_WHEEL_VARIANTS'!K19</x:f>
        <x:v>17</x:v>
      </x:c>
      <x:c r="N19" s="26" t="n">
        <x:f>'02_WHEEL_VARIANTS'!L19</x:f>
        <x:v>9</x:v>
      </x:c>
      <x:c r="O19" s="28" t="n">
        <x:f>'02_WHEEL_VARIANTS'!M19</x:f>
        <x:v>-12</x:v>
      </x:c>
      <x:c r="P19" s="10" t="n">
        <x:f>'02_WHEEL_VARIANTS'!N19</x:f>
        <x:v>5</x:v>
      </x:c>
      <x:c r="Q19" s="20" t="n">
        <x:f>'02_WHEEL_VARIANTS'!O19</x:f>
        <x:v>127</x:v>
      </x:c>
      <x:c r="R19" s="10" t="str">
        <x:f>IF('02_WHEEL_VARIANTS'!P19="","",'02_WHEEL_VARIANTS'!P19)</x:f>
      </x:c>
      <x:c r="S19" s="20" t="str">
        <x:f>IF('02_WHEEL_VARIANTS'!Q19="","",'02_WHEEL_VARIANTS'!Q19)</x:f>
      </x:c>
      <x:c r="T19" s="26" t="n">
        <x:f>'02_WHEEL_VARIANTS'!R19</x:f>
        <x:v>71.5</x:v>
      </x:c>
      <x:c r="U19" s="30" t="n">
        <x:f>'02_WHEEL_VARIANTS'!S19</x:f>
        <x:v>1150</x:v>
      </x:c>
      <x:c r="V19" s="10" t="str">
        <x:f>'02_WHEEL_VARIANTS'!T19</x:f>
        <x:v>monoblock</x:v>
      </x:c>
      <x:c r="W19" s="10" t="str">
        <x:f>'06_ATTRIBUTE_VALUES'!H87</x:f>
        <x:v>functional</x:v>
      </x:c>
      <x:c r="X19" s="10" t="str">
        <x:f>'06_ATTRIBUTE_VALUES'!H88</x:f>
        <x:v>deep_concave</x:v>
      </x:c>
      <x:c r="Y19" s="42" t="n">
        <x:f>'06_ATTRIBUTE_VALUES'!F89</x:f>
        <x:v>12.3</x:v>
      </x:c>
      <x:c r="Z19" s="10" t="str">
        <x:f>'06_ATTRIBUTE_VALUES'!H90</x:f>
        <x:v>dark_graphite</x:v>
      </x:c>
      <x:c r="AA19" s="10" t="str">
        <x:f>'06_ATTRIBUTE_VALUES'!H91</x:f>
        <x:v>graphite</x:v>
      </x:c>
      <x:c r="AB19" s="10" t="str">
        <x:f>'02_WHEEL_VARIANTS'!X19</x:f>
        <x:v>internal_demo</x:v>
      </x:c>
      <x:c r="AC19" s="10" t="b">
        <x:f>AND(G19="published",'02_WHEEL_VARIANTS'!AB19=FALSE)</x:f>
        <x:v>1</x:v>
      </x:c>
    </x:row>
    <x:row r="20" ht="15" hidden="0" customHeight="1">
      <x:c r="A20" s="9" t="str">
        <x:f>'02_WHEEL_VARIANTS'!A20</x:f>
        <x:v>BIZON-WHEEL-VAR-BASTION-189-ET0-6X1397</x:v>
      </x:c>
      <x:c r="B20" s="9" t="str">
        <x:f>'02_WHEEL_VARIANTS'!B20</x:f>
        <x:v>BIZON-WHEEL-MODEL-BASTION</x:v>
      </x:c>
      <x:c r="C20" s="9" t="str">
        <x:f>'01_WHEEL_MODELS'!C6</x:f>
        <x:v>bastion</x:v>
      </x:c>
      <x:c r="D20" s="9" t="str">
        <x:f>'01_WHEEL_MODELS'!D6</x:f>
        <x:v>BIZON Bastion</x:v>
      </x:c>
      <x:c r="E20" s="9" t="str">
        <x:f>'02_WHEEL_VARIANTS'!C20</x:f>
        <x:v>BIZ-BASTION-189-ET0-6X1397</x:v>
      </x:c>
      <x:c r="F20" s="9" t="str">
        <x:f>'02_WHEEL_VARIANTS'!D20</x:f>
        <x:v>BIZON Bastion 18×9 ET0</x:v>
      </x:c>
      <x:c r="G20" s="9" t="str">
        <x:f>'02_WHEEL_VARIANTS'!F20</x:f>
        <x:v>published</x:v>
      </x:c>
      <x:c r="H20" s="9" t="str">
        <x:f>'02_WHEEL_VARIANTS'!E20</x:f>
        <x:v>stock</x:v>
      </x:c>
      <x:c r="I20" s="9" t="b">
        <x:f>'02_WHEEL_VARIANTS'!G20</x:f>
        <x:v>1</x:v>
      </x:c>
      <x:c r="J20" s="23" t="n">
        <x:f>IF('02_WHEEL_VARIANTS'!H20="","",'02_WHEEL_VARIANTS'!H20)</x:f>
        <x:v>158000</x:v>
      </x:c>
      <x:c r="K20" s="9" t="b">
        <x:f>'02_WHEEL_VARIANTS'!I20</x:f>
        <x:v>0</x:v>
      </x:c>
      <x:c r="L20" s="19" t="n">
        <x:f>'02_WHEEL_VARIANTS'!J20</x:f>
        <x:v>6</x:v>
      </x:c>
      <x:c r="M20" s="25" t="n">
        <x:f>'02_WHEEL_VARIANTS'!K20</x:f>
        <x:v>18</x:v>
      </x:c>
      <x:c r="N20" s="25" t="n">
        <x:f>'02_WHEEL_VARIANTS'!L20</x:f>
        <x:v>9</x:v>
      </x:c>
      <x:c r="O20" s="27" t="n">
        <x:f>'02_WHEEL_VARIANTS'!M20</x:f>
        <x:v>0</x:v>
      </x:c>
      <x:c r="P20" s="9" t="n">
        <x:f>'02_WHEEL_VARIANTS'!N20</x:f>
        <x:v>6</x:v>
      </x:c>
      <x:c r="Q20" s="19" t="n">
        <x:f>'02_WHEEL_VARIANTS'!O20</x:f>
        <x:v>139.7</x:v>
      </x:c>
      <x:c r="R20" s="9" t="str">
        <x:f>IF('02_WHEEL_VARIANTS'!P20="","",'02_WHEEL_VARIANTS'!P20)</x:f>
      </x:c>
      <x:c r="S20" s="19" t="str">
        <x:f>IF('02_WHEEL_VARIANTS'!Q20="","",'02_WHEEL_VARIANTS'!Q20)</x:f>
      </x:c>
      <x:c r="T20" s="25" t="n">
        <x:f>'02_WHEEL_VARIANTS'!R20</x:f>
        <x:v>106.1</x:v>
      </x:c>
      <x:c r="U20" s="29" t="n">
        <x:f>'02_WHEEL_VARIANTS'!S20</x:f>
        <x:v>1200</x:v>
      </x:c>
      <x:c r="V20" s="9" t="str">
        <x:f>'02_WHEEL_VARIANTS'!T20</x:f>
        <x:v>monoblock</x:v>
      </x:c>
      <x:c r="W20" s="9" t="str">
        <x:f>'06_ATTRIBUTE_VALUES'!H92</x:f>
        <x:v>functional</x:v>
      </x:c>
      <x:c r="X20" s="9" t="str">
        <x:f>'06_ATTRIBUTE_VALUES'!H93</x:f>
        <x:v>deep_concave</x:v>
      </x:c>
      <x:c r="Y20" s="41" t="n">
        <x:f>'06_ATTRIBUTE_VALUES'!F94</x:f>
        <x:v>13.2</x:v>
      </x:c>
      <x:c r="Z20" s="9" t="str">
        <x:f>'06_ATTRIBUTE_VALUES'!H95</x:f>
        <x:v>dark_graphite</x:v>
      </x:c>
      <x:c r="AA20" s="9" t="str">
        <x:f>'06_ATTRIBUTE_VALUES'!H96</x:f>
        <x:v>graphite</x:v>
      </x:c>
      <x:c r="AB20" s="9" t="str">
        <x:f>'02_WHEEL_VARIANTS'!X20</x:f>
        <x:v>internal_demo</x:v>
      </x:c>
      <x:c r="AC20" s="9" t="b">
        <x:f>AND(G20="published",'02_WHEEL_VARIANTS'!AB20=FALSE)</x:f>
        <x:v>1</x:v>
      </x:c>
    </x:row>
    <x:row r="21" ht="15" hidden="0" customHeight="1">
      <x:c r="A21" s="10" t="str">
        <x:f>'02_WHEEL_VARIANTS'!A21</x:f>
        <x:v>BIZON-WHEEL-VAR-BASTION-2010-ETM18-6X1397</x:v>
      </x:c>
      <x:c r="B21" s="10" t="str">
        <x:f>'02_WHEEL_VARIANTS'!B21</x:f>
        <x:v>BIZON-WHEEL-MODEL-BASTION</x:v>
      </x:c>
      <x:c r="C21" s="10" t="str">
        <x:f>'01_WHEEL_MODELS'!C6</x:f>
        <x:v>bastion</x:v>
      </x:c>
      <x:c r="D21" s="10" t="str">
        <x:f>'01_WHEEL_MODELS'!D6</x:f>
        <x:v>BIZON Bastion</x:v>
      </x:c>
      <x:c r="E21" s="10" t="str">
        <x:f>'02_WHEEL_VARIANTS'!C21</x:f>
        <x:v>BIZ-BASTION-2010-ETM18-6X1397</x:v>
      </x:c>
      <x:c r="F21" s="10" t="str">
        <x:f>'02_WHEEL_VARIANTS'!D21</x:f>
        <x:v>BIZON Bastion 20×10 ET−18</x:v>
      </x:c>
      <x:c r="G21" s="10" t="str">
        <x:f>'02_WHEEL_VARIANTS'!F21</x:f>
        <x:v>published</x:v>
      </x:c>
      <x:c r="H21" s="10" t="str">
        <x:f>'02_WHEEL_VARIANTS'!E21</x:f>
        <x:v>made_to_order</x:v>
      </x:c>
      <x:c r="I21" s="10" t="b">
        <x:f>'02_WHEEL_VARIANTS'!G21</x:f>
        <x:v>0</x:v>
      </x:c>
      <x:c r="J21" s="24" t="str">
        <x:f>IF('02_WHEEL_VARIANTS'!H21="","",'02_WHEEL_VARIANTS'!H21)</x:f>
      </x:c>
      <x:c r="K21" s="10" t="b">
        <x:f>'02_WHEEL_VARIANTS'!I21</x:f>
        <x:v>1</x:v>
      </x:c>
      <x:c r="L21" s="20" t="n">
        <x:f>'02_WHEEL_VARIANTS'!J21</x:f>
        <x:v>35</x:v>
      </x:c>
      <x:c r="M21" s="26" t="n">
        <x:f>'02_WHEEL_VARIANTS'!K21</x:f>
        <x:v>20</x:v>
      </x:c>
      <x:c r="N21" s="26" t="n">
        <x:f>'02_WHEEL_VARIANTS'!L21</x:f>
        <x:v>10</x:v>
      </x:c>
      <x:c r="O21" s="28" t="n">
        <x:f>'02_WHEEL_VARIANTS'!M21</x:f>
        <x:v>-18</x:v>
      </x:c>
      <x:c r="P21" s="10" t="n">
        <x:f>'02_WHEEL_VARIANTS'!N21</x:f>
        <x:v>6</x:v>
      </x:c>
      <x:c r="Q21" s="20" t="n">
        <x:f>'02_WHEEL_VARIANTS'!O21</x:f>
        <x:v>139.7</x:v>
      </x:c>
      <x:c r="R21" s="10" t="str">
        <x:f>IF('02_WHEEL_VARIANTS'!P21="","",'02_WHEEL_VARIANTS'!P21)</x:f>
      </x:c>
      <x:c r="S21" s="20" t="str">
        <x:f>IF('02_WHEEL_VARIANTS'!Q21="","",'02_WHEEL_VARIANTS'!Q21)</x:f>
      </x:c>
      <x:c r="T21" s="26" t="n">
        <x:f>'02_WHEEL_VARIANTS'!R21</x:f>
        <x:v>106.1</x:v>
      </x:c>
      <x:c r="U21" s="30" t="n">
        <x:f>'02_WHEEL_VARIANTS'!S21</x:f>
        <x:v>1200</x:v>
      </x:c>
      <x:c r="V21" s="10" t="str">
        <x:f>'02_WHEEL_VARIANTS'!T21</x:f>
        <x:v>three_piece</x:v>
      </x:c>
      <x:c r="W21" s="10" t="str">
        <x:f>'06_ATTRIBUTE_VALUES'!H97</x:f>
        <x:v>functional</x:v>
      </x:c>
      <x:c r="X21" s="10" t="str">
        <x:f>'06_ATTRIBUTE_VALUES'!H98</x:f>
        <x:v>deep_concave</x:v>
      </x:c>
      <x:c r="Y21" s="42" t="n">
        <x:f>'06_ATTRIBUTE_VALUES'!F99</x:f>
        <x:v>16.4</x:v>
      </x:c>
      <x:c r="Z21" s="10" t="str">
        <x:f>'06_ATTRIBUTE_VALUES'!H100</x:f>
        <x:v>satin_black</x:v>
      </x:c>
      <x:c r="AA21" s="10" t="str">
        <x:f>'06_ATTRIBUTE_VALUES'!H101</x:f>
        <x:v>black</x:v>
      </x:c>
      <x:c r="AB21" s="10" t="str">
        <x:f>'02_WHEEL_VARIANTS'!X21</x:f>
        <x:v>internal_demo</x:v>
      </x:c>
      <x:c r="AC21" s="10" t="b">
        <x:f>AND(G21="published",'02_WHEEL_VARIANTS'!AB21=FALSE)</x:f>
        <x:v>1</x:v>
      </x:c>
    </x:row>
  </x:sheetData>
  <x:conditionalFormatting sqref="G2:G21">
    <x:cfRule type="containsText" dxfId="198" priority="1" operator="containsText" text="published"/>
    <x:cfRule type="containsText" dxfId="199" priority="2" operator="containsText" text="ok"/>
    <x:cfRule type="containsText" dxfId="200" priority="3" operator="containsText" text="pass"/>
    <x:cfRule type="containsText" dxfId="201" priority="4" operator="containsText" text="compatible"/>
    <x:cfRule type="containsText" dxfId="202" priority="5" operator="containsText" text="review"/>
    <x:cfRule type="containsText" dxfId="203" priority="6" operator="containsText" text="conditional"/>
    <x:cfRule type="containsText" dxfId="204" priority="7" operator="containsText" text="error"/>
    <x:cfRule type="containsText" dxfId="205" priority="8" operator="containsText" text="fail"/>
    <x:cfRule type="containsText" dxfId="206" priority="9" operator="containsText" text="archived"/>
  </x:conditionalFormatting>
  <x:dataValidations count="1">
    <x:dataValidation type="list" sqref="G2:G21">
      <x:formula1>"draft,review,published,archived"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7321484e8a428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7" hidden="0" customWidth="1"/>
    <x:col min="4" max="4" width="23" hidden="0" customWidth="1"/>
    <x:col min="5" max="5" width="26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16" hidden="0" customWidth="1"/>
    <x:col min="11" max="11" width="13" hidden="0" customWidth="1"/>
    <x:col min="12" max="12" width="18" hidden="0" customWidth="1"/>
    <x:col min="13" max="13" width="18" hidden="0" customWidth="1"/>
    <x:col min="14" max="14" width="14" hidden="0" customWidth="1"/>
    <x:col min="15" max="15" width="12" hidden="0" customWidth="1"/>
    <x:col min="16" max="16" width="18" hidden="0" customWidth="1"/>
    <x:col min="17" max="17" width="12" hidden="0" customWidth="1"/>
    <x:col min="18" max="18" width="18" hidden="0" customWidth="1"/>
    <x:col min="19" max="19" width="14" hidden="0" customWidth="1"/>
    <x:col min="20" max="20" width="15" hidden="0" customWidth="1"/>
    <x:col min="21" max="21" width="15" hidden="0" customWidth="1"/>
    <x:col min="22" max="22" width="16" hidden="0" customWidth="1"/>
    <x:col min="23" max="23" width="18" hidden="0" customWidth="1"/>
    <x:col min="24" max="24" width="18" hidden="0" customWidth="1"/>
    <x:col min="25" max="25" width="14" hidden="0" customWidth="1"/>
  </x:cols>
  <x:sheetData>
    <x:row r="1" ht="30" customHeight="1">
      <x:c r="A1" s="8" t="str">
        <x:v>model_name_ru</x:v>
      </x:c>
      <x:c r="B1" s="8" t="str">
        <x:v>model_slug</x:v>
      </x:c>
      <x:c r="C1" s="8" t="str">
        <x:v>positioning_key</x:v>
      </x:c>
      <x:c r="D1" s="8" t="str">
        <x:v>variant_name_ru</x:v>
      </x:c>
      <x:c r="E1" s="8" t="str">
        <x:v>sku</x:v>
      </x:c>
      <x:c r="F1" s="18" t="str">
        <x:v>diameter_in</x:v>
      </x:c>
      <x:c r="G1" s="18" t="str">
        <x:v>width_in</x:v>
      </x:c>
      <x:c r="H1" s="18" t="str">
        <x:v>offset_et_mm</x:v>
      </x:c>
      <x:c r="I1" s="8" t="str">
        <x:v>pcd_display</x:v>
      </x:c>
      <x:c r="J1" s="18" t="str">
        <x:v>center_bore_mm</x:v>
      </x:c>
      <x:c r="K1" s="18" t="str">
        <x:v>max_load_kg</x:v>
      </x:c>
      <x:c r="L1" s="8" t="str">
        <x:v>construction_type</x:v>
      </x:c>
      <x:c r="M1" s="8" t="str">
        <x:v>beadlock_type</x:v>
      </x:c>
      <x:c r="N1" s="8" t="str">
        <x:v>face_profile</x:v>
      </x:c>
      <x:c r="O1" s="18" t="str">
        <x:v>weight_kg</x:v>
      </x:c>
      <x:c r="P1" s="8" t="str">
        <x:v>finish_type</x:v>
      </x:c>
      <x:c r="Q1" s="8" t="str">
        <x:v>color_key</x:v>
      </x:c>
      <x:c r="R1" s="8" t="str">
        <x:v>sale_mode</x:v>
      </x:c>
      <x:c r="S1" s="8" t="str">
        <x:v>availability</x:v>
      </x:c>
      <x:c r="T1" s="18" t="str">
        <x:v>price_rub</x:v>
      </x:c>
      <x:c r="U1" s="8" t="str">
        <x:v>price_on_request</x:v>
      </x:c>
      <x:c r="V1" s="18" t="str">
        <x:v>lead_time_days</x:v>
      </x:c>
      <x:c r="W1" s="8" t="str">
        <x:v>lifecycle_status</x:v>
      </x:c>
      <x:c r="X1" s="8" t="str">
        <x:v>source_type</x:v>
      </x:c>
      <x:c r="Y1" s="8" t="str">
        <x:v>import_ready</x:v>
      </x:c>
    </x:row>
    <x:row r="2" ht="15" hidden="0" customHeight="1">
      <x:c r="A2" s="9" t="str">
        <x:f>'01_WHEEL_MODELS'!D2</x:f>
        <x:v>BIZON Atlas</x:v>
      </x:c>
      <x:c r="B2" s="9" t="str">
        <x:f>'01_WHEEL_MODELS'!C2</x:f>
        <x:v>atlas</x:v>
      </x:c>
      <x:c r="C2" s="9" t="str">
        <x:f>'01_WHEEL_MODELS'!F2</x:f>
        <x:v>offroad</x:v>
      </x:c>
      <x:c r="D2" s="9" t="str">
        <x:f>'20_CMS_IMPORT'!F2</x:f>
        <x:v>BIZON Atlas 17×8.5 ET0</x:v>
      </x:c>
      <x:c r="E2" s="9" t="str">
        <x:f>'20_CMS_IMPORT'!E2</x:f>
        <x:v>BIZ-ATLAS-1785-ET0-6X1397</x:v>
      </x:c>
      <x:c r="F2" s="25" t="n">
        <x:f>'20_CMS_IMPORT'!M2</x:f>
        <x:v>17</x:v>
      </x:c>
      <x:c r="G2" s="25" t="n">
        <x:f>'20_CMS_IMPORT'!N2</x:f>
        <x:v>8.5</x:v>
      </x:c>
      <x:c r="H2" s="27" t="n">
        <x:f>'20_CMS_IMPORT'!O2</x:f>
        <x:v>0</x:v>
      </x:c>
      <x:c r="I2" s="9" t="str">
        <x:f>TEXT('20_CMS_IMPORT'!P2,"0")&amp;"×"&amp;IF(ROUND('20_CMS_IMPORT'!Q2,0)='20_CMS_IMPORT'!Q2,TEXT('20_CMS_IMPORT'!Q2,"0"),TEXT('20_CMS_IMPORT'!Q2,"0.0"))&amp;IF('20_CMS_IMPORT'!R2="","",", "&amp;TEXT('20_CMS_IMPORT'!R2,"0")&amp;"×"&amp;IF(ROUND('20_CMS_IMPORT'!S2,0)='20_CMS_IMPORT'!S2,TEXT('20_CMS_IMPORT'!S2,"0"),TEXT('20_CMS_IMPORT'!S2,"0.0")))</x:f>
        <x:v>6×139.7</x:v>
      </x:c>
      <x:c r="J2" s="25" t="n">
        <x:f>'20_CMS_IMPORT'!T2</x:f>
        <x:v>106.1</x:v>
      </x:c>
      <x:c r="K2" s="29" t="n">
        <x:f>'20_CMS_IMPORT'!U2</x:f>
        <x:v>1100</x:v>
      </x:c>
      <x:c r="L2" s="9" t="str">
        <x:f>'20_CMS_IMPORT'!V2</x:f>
        <x:v>monoblock</x:v>
      </x:c>
      <x:c r="M2" s="9" t="str">
        <x:f>'20_CMS_IMPORT'!W2</x:f>
        <x:v>simulated</x:v>
      </x:c>
      <x:c r="N2" s="9" t="str">
        <x:f>'20_CMS_IMPORT'!X2</x:f>
        <x:v>concave</x:v>
      </x:c>
      <x:c r="O2" s="41" t="n">
        <x:f>'20_CMS_IMPORT'!Y2</x:f>
        <x:v>11.2</x:v>
      </x:c>
      <x:c r="P2" s="9" t="str">
        <x:f>'20_CMS_IMPORT'!Z2</x:f>
        <x:v>satin_black</x:v>
      </x:c>
      <x:c r="Q2" s="9" t="str">
        <x:f>'20_CMS_IMPORT'!AA2</x:f>
        <x:v>black</x:v>
      </x:c>
      <x:c r="R2" s="9" t="str">
        <x:f>'20_CMS_IMPORT'!H2</x:f>
        <x:v>stock</x:v>
      </x:c>
      <x:c r="S2" s="9" t="b">
        <x:f>'20_CMS_IMPORT'!I2</x:f>
        <x:v>1</x:v>
      </x:c>
      <x:c r="T2" s="23" t="n">
        <x:f>IF('20_CMS_IMPORT'!J2="","",'20_CMS_IMPORT'!J2)</x:f>
        <x:v>128000</x:v>
      </x:c>
      <x:c r="U2" s="9" t="b">
        <x:f>'20_CMS_IMPORT'!K2</x:f>
        <x:v>0</x:v>
      </x:c>
      <x:c r="V2" s="19" t="n">
        <x:f>'20_CMS_IMPORT'!L2</x:f>
        <x:v>5</x:v>
      </x:c>
      <x:c r="W2" s="9" t="str">
        <x:f>'20_CMS_IMPORT'!G2</x:f>
        <x:v>published</x:v>
      </x:c>
      <x:c r="X2" s="9" t="str">
        <x:f>'20_CMS_IMPORT'!AB2</x:f>
        <x:v>internal_demo</x:v>
      </x:c>
      <x:c r="Y2" s="9" t="b">
        <x:f>'20_CMS_IMPORT'!AC2</x:f>
        <x:v>1</x:v>
      </x:c>
    </x:row>
    <x:row r="3" ht="15" hidden="0" customHeight="1">
      <x:c r="A3" s="10" t="str">
        <x:f>'01_WHEEL_MODELS'!D2</x:f>
        <x:v>BIZON Atlas</x:v>
      </x:c>
      <x:c r="B3" s="10" t="str">
        <x:f>'01_WHEEL_MODELS'!C2</x:f>
        <x:v>atlas</x:v>
      </x:c>
      <x:c r="C3" s="10" t="str">
        <x:f>'01_WHEEL_MODELS'!F2</x:f>
        <x:v>offroad</x:v>
      </x:c>
      <x:c r="D3" s="10" t="str">
        <x:f>'20_CMS_IMPORT'!F3</x:f>
        <x:v>BIZON Atlas 18×9 ET−12</x:v>
      </x:c>
      <x:c r="E3" s="10" t="str">
        <x:f>'20_CMS_IMPORT'!E3</x:f>
        <x:v>BIZ-ATLAS-189-ETM12-6X1397</x:v>
      </x:c>
      <x:c r="F3" s="26" t="n">
        <x:f>'20_CMS_IMPORT'!M3</x:f>
        <x:v>18</x:v>
      </x:c>
      <x:c r="G3" s="26" t="n">
        <x:f>'20_CMS_IMPORT'!N3</x:f>
        <x:v>9</x:v>
      </x:c>
      <x:c r="H3" s="28" t="n">
        <x:f>'20_CMS_IMPORT'!O3</x:f>
        <x:v>-12</x:v>
      </x:c>
      <x:c r="I3" s="10" t="str">
        <x:f>TEXT('20_CMS_IMPORT'!P3,"0")&amp;"×"&amp;IF(ROUND('20_CMS_IMPORT'!Q3,0)='20_CMS_IMPORT'!Q3,TEXT('20_CMS_IMPORT'!Q3,"0"),TEXT('20_CMS_IMPORT'!Q3,"0.0"))&amp;IF('20_CMS_IMPORT'!R3="","",", "&amp;TEXT('20_CMS_IMPORT'!R3,"0")&amp;"×"&amp;IF(ROUND('20_CMS_IMPORT'!S3,0)='20_CMS_IMPORT'!S3,TEXT('20_CMS_IMPORT'!S3,"0"),TEXT('20_CMS_IMPORT'!S3,"0.0")))</x:f>
        <x:v>6×139.7</x:v>
      </x:c>
      <x:c r="J3" s="26" t="n">
        <x:f>'20_CMS_IMPORT'!T3</x:f>
        <x:v>106.1</x:v>
      </x:c>
      <x:c r="K3" s="30" t="n">
        <x:f>'20_CMS_IMPORT'!U3</x:f>
        <x:v>1150</x:v>
      </x:c>
      <x:c r="L3" s="10" t="str">
        <x:f>'20_CMS_IMPORT'!V3</x:f>
        <x:v>monoblock</x:v>
      </x:c>
      <x:c r="M3" s="10" t="str">
        <x:f>'20_CMS_IMPORT'!W3</x:f>
        <x:v>none</x:v>
      </x:c>
      <x:c r="N3" s="10" t="str">
        <x:f>'20_CMS_IMPORT'!X3</x:f>
        <x:v>deep_concave</x:v>
      </x:c>
      <x:c r="O3" s="42" t="n">
        <x:f>'20_CMS_IMPORT'!Y3</x:f>
        <x:v>12.1</x:v>
      </x:c>
      <x:c r="P3" s="10" t="str">
        <x:f>'20_CMS_IMPORT'!Z3</x:f>
        <x:v>machined_silver</x:v>
      </x:c>
      <x:c r="Q3" s="10" t="str">
        <x:f>'20_CMS_IMPORT'!AA3</x:f>
        <x:v>silver</x:v>
      </x:c>
      <x:c r="R3" s="10" t="str">
        <x:f>'20_CMS_IMPORT'!H3</x:f>
        <x:v>made_to_order</x:v>
      </x:c>
      <x:c r="S3" s="10" t="b">
        <x:f>'20_CMS_IMPORT'!I3</x:f>
        <x:v>0</x:v>
      </x:c>
      <x:c r="T3" s="24" t="str">
        <x:f>IF('20_CMS_IMPORT'!J3="","",'20_CMS_IMPORT'!J3)</x:f>
      </x:c>
      <x:c r="U3" s="10" t="b">
        <x:f>'20_CMS_IMPORT'!K3</x:f>
        <x:v>1</x:v>
      </x:c>
      <x:c r="V3" s="20" t="n">
        <x:f>'20_CMS_IMPORT'!L3</x:f>
        <x:v>30</x:v>
      </x:c>
      <x:c r="W3" s="10" t="str">
        <x:f>'20_CMS_IMPORT'!G3</x:f>
        <x:v>published</x:v>
      </x:c>
      <x:c r="X3" s="10" t="str">
        <x:f>'20_CMS_IMPORT'!AB3</x:f>
        <x:v>internal_demo</x:v>
      </x:c>
      <x:c r="Y3" s="10" t="b">
        <x:f>'20_CMS_IMPORT'!AC3</x:f>
        <x:v>1</x:v>
      </x:c>
    </x:row>
    <x:row r="4" ht="15" hidden="0" customHeight="1">
      <x:c r="A4" s="9" t="str">
        <x:f>'01_WHEEL_MODELS'!D2</x:f>
        <x:v>BIZON Atlas</x:v>
      </x:c>
      <x:c r="B4" s="9" t="str">
        <x:f>'01_WHEEL_MODELS'!C2</x:f>
        <x:v>atlas</x:v>
      </x:c>
      <x:c r="C4" s="9" t="str">
        <x:f>'01_WHEEL_MODELS'!F2</x:f>
        <x:v>offroad</x:v>
      </x:c>
      <x:c r="D4" s="9" t="str">
        <x:f>'20_CMS_IMPORT'!F4</x:f>
        <x:v>BIZON Atlas 20×9 ET18</x:v>
      </x:c>
      <x:c r="E4" s="9" t="str">
        <x:f>'20_CMS_IMPORT'!E4</x:f>
        <x:v>BIZ-ATLAS-209-ET18-6X1397</x:v>
      </x:c>
      <x:c r="F4" s="25" t="n">
        <x:f>'20_CMS_IMPORT'!M4</x:f>
        <x:v>20</x:v>
      </x:c>
      <x:c r="G4" s="25" t="n">
        <x:f>'20_CMS_IMPORT'!N4</x:f>
        <x:v>9</x:v>
      </x:c>
      <x:c r="H4" s="27" t="n">
        <x:f>'20_CMS_IMPORT'!O4</x:f>
        <x:v>18</x:v>
      </x:c>
      <x:c r="I4" s="9" t="str">
        <x:f>TEXT('20_CMS_IMPORT'!P4,"0")&amp;"×"&amp;IF(ROUND('20_CMS_IMPORT'!Q4,0)='20_CMS_IMPORT'!Q4,TEXT('20_CMS_IMPORT'!Q4,"0"),TEXT('20_CMS_IMPORT'!Q4,"0.0"))&amp;IF('20_CMS_IMPORT'!R4="","",", "&amp;TEXT('20_CMS_IMPORT'!R4,"0")&amp;"×"&amp;IF(ROUND('20_CMS_IMPORT'!S4,0)='20_CMS_IMPORT'!S4,TEXT('20_CMS_IMPORT'!S4,"0"),TEXT('20_CMS_IMPORT'!S4,"0.0")))</x:f>
        <x:v>6×139.7</x:v>
      </x:c>
      <x:c r="J4" s="25" t="n">
        <x:f>'20_CMS_IMPORT'!T4</x:f>
        <x:v>106.1</x:v>
      </x:c>
      <x:c r="K4" s="29" t="n">
        <x:f>'20_CMS_IMPORT'!U4</x:f>
        <x:v>1050</x:v>
      </x:c>
      <x:c r="L4" s="9" t="str">
        <x:f>'20_CMS_IMPORT'!V4</x:f>
        <x:v>monoblock</x:v>
      </x:c>
      <x:c r="M4" s="9" t="str">
        <x:f>'20_CMS_IMPORT'!W4</x:f>
        <x:v>simulated</x:v>
      </x:c>
      <x:c r="N4" s="9" t="str">
        <x:f>'20_CMS_IMPORT'!X4</x:f>
        <x:v>concave</x:v>
      </x:c>
      <x:c r="O4" s="41" t="n">
        <x:f>'20_CMS_IMPORT'!Y4</x:f>
        <x:v>13.4</x:v>
      </x:c>
      <x:c r="P4" s="9" t="str">
        <x:f>'20_CMS_IMPORT'!Z4</x:f>
        <x:v>satin_black</x:v>
      </x:c>
      <x:c r="Q4" s="9" t="str">
        <x:f>'20_CMS_IMPORT'!AA4</x:f>
        <x:v>black</x:v>
      </x:c>
      <x:c r="R4" s="9" t="str">
        <x:f>'20_CMS_IMPORT'!H4</x:f>
        <x:v>stock</x:v>
      </x:c>
      <x:c r="S4" s="9" t="b">
        <x:f>'20_CMS_IMPORT'!I4</x:f>
        <x:v>1</x:v>
      </x:c>
      <x:c r="T4" s="23" t="n">
        <x:f>IF('20_CMS_IMPORT'!J4="","",'20_CMS_IMPORT'!J4)</x:f>
        <x:v>164000</x:v>
      </x:c>
      <x:c r="U4" s="9" t="b">
        <x:f>'20_CMS_IMPORT'!K4</x:f>
        <x:v>0</x:v>
      </x:c>
      <x:c r="V4" s="19" t="n">
        <x:f>'20_CMS_IMPORT'!L4</x:f>
        <x:v>7</x:v>
      </x:c>
      <x:c r="W4" s="9" t="str">
        <x:f>'20_CMS_IMPORT'!G4</x:f>
        <x:v>published</x:v>
      </x:c>
      <x:c r="X4" s="9" t="str">
        <x:f>'20_CMS_IMPORT'!AB4</x:f>
        <x:v>internal_demo</x:v>
      </x:c>
      <x:c r="Y4" s="9" t="b">
        <x:f>'20_CMS_IMPORT'!AC4</x:f>
        <x:v>1</x:v>
      </x:c>
    </x:row>
    <x:row r="5" ht="15" hidden="0" customHeight="1">
      <x:c r="A5" s="10" t="str">
        <x:f>'01_WHEEL_MODELS'!D2</x:f>
        <x:v>BIZON Atlas</x:v>
      </x:c>
      <x:c r="B5" s="10" t="str">
        <x:f>'01_WHEEL_MODELS'!C2</x:f>
        <x:v>atlas</x:v>
      </x:c>
      <x:c r="C5" s="10" t="str">
        <x:f>'01_WHEEL_MODELS'!F2</x:f>
        <x:v>offroad</x:v>
      </x:c>
      <x:c r="D5" s="10" t="str">
        <x:f>'20_CMS_IMPORT'!F5</x:f>
        <x:v>BIZON Atlas 20×10 ET−18 Dual PCD</x:v>
      </x:c>
      <x:c r="E5" s="10" t="str">
        <x:f>'20_CMS_IMPORT'!E5</x:f>
        <x:v>BIZ-ATLAS-2010-ETM18-DUAL</x:v>
      </x:c>
      <x:c r="F5" s="26" t="n">
        <x:f>'20_CMS_IMPORT'!M5</x:f>
        <x:v>20</x:v>
      </x:c>
      <x:c r="G5" s="26" t="n">
        <x:f>'20_CMS_IMPORT'!N5</x:f>
        <x:v>10</x:v>
      </x:c>
      <x:c r="H5" s="28" t="n">
        <x:f>'20_CMS_IMPORT'!O5</x:f>
        <x:v>-18</x:v>
      </x:c>
      <x:c r="I5" s="10" t="str">
        <x:f>TEXT('20_CMS_IMPORT'!P5,"0")&amp;"×"&amp;IF(ROUND('20_CMS_IMPORT'!Q5,0)='20_CMS_IMPORT'!Q5,TEXT('20_CMS_IMPORT'!Q5,"0"),TEXT('20_CMS_IMPORT'!Q5,"0.0"))&amp;IF('20_CMS_IMPORT'!R5="","",", "&amp;TEXT('20_CMS_IMPORT'!R5,"0")&amp;"×"&amp;IF(ROUND('20_CMS_IMPORT'!S5,0)='20_CMS_IMPORT'!S5,TEXT('20_CMS_IMPORT'!S5,"0"),TEXT('20_CMS_IMPORT'!S5,"0.0")))</x:f>
        <x:v>6×139.7, 5×127</x:v>
      </x:c>
      <x:c r="J5" s="26" t="n">
        <x:f>'20_CMS_IMPORT'!T5</x:f>
        <x:v>106.1</x:v>
      </x:c>
      <x:c r="K5" s="30" t="n">
        <x:f>'20_CMS_IMPORT'!U5</x:f>
        <x:v>1100</x:v>
      </x:c>
      <x:c r="L5" s="10" t="str">
        <x:f>'20_CMS_IMPORT'!V5</x:f>
        <x:v>two_piece</x:v>
      </x:c>
      <x:c r="M5" s="10" t="str">
        <x:f>'20_CMS_IMPORT'!W5</x:f>
        <x:v>functional</x:v>
      </x:c>
      <x:c r="N5" s="10" t="str">
        <x:f>'20_CMS_IMPORT'!X5</x:f>
        <x:v>deep_concave</x:v>
      </x:c>
      <x:c r="O5" s="42" t="n">
        <x:f>'20_CMS_IMPORT'!Y5</x:f>
        <x:v>15.8</x:v>
      </x:c>
      <x:c r="P5" s="10" t="str">
        <x:f>'20_CMS_IMPORT'!Z5</x:f>
        <x:v>machined_silver</x:v>
      </x:c>
      <x:c r="Q5" s="10" t="str">
        <x:f>'20_CMS_IMPORT'!AA5</x:f>
        <x:v>silver</x:v>
      </x:c>
      <x:c r="R5" s="10" t="str">
        <x:f>'20_CMS_IMPORT'!H5</x:f>
        <x:v>made_to_order</x:v>
      </x:c>
      <x:c r="S5" s="10" t="b">
        <x:f>'20_CMS_IMPORT'!I5</x:f>
        <x:v>0</x:v>
      </x:c>
      <x:c r="T5" s="24" t="str">
        <x:f>IF('20_CMS_IMPORT'!J5="","",'20_CMS_IMPORT'!J5)</x:f>
      </x:c>
      <x:c r="U5" s="10" t="b">
        <x:f>'20_CMS_IMPORT'!K5</x:f>
        <x:v>1</x:v>
      </x:c>
      <x:c r="V5" s="20" t="n">
        <x:f>'20_CMS_IMPORT'!L5</x:f>
        <x:v>35</x:v>
      </x:c>
      <x:c r="W5" s="10" t="str">
        <x:f>'20_CMS_IMPORT'!G5</x:f>
        <x:v>published</x:v>
      </x:c>
      <x:c r="X5" s="10" t="str">
        <x:f>'20_CMS_IMPORT'!AB5</x:f>
        <x:v>internal_demo</x:v>
      </x:c>
      <x:c r="Y5" s="10" t="b">
        <x:f>'20_CMS_IMPORT'!AC5</x:f>
        <x:v>1</x:v>
      </x:c>
    </x:row>
    <x:row r="6" ht="15" hidden="0" customHeight="1">
      <x:c r="A6" s="9" t="str">
        <x:f>'01_WHEEL_MODELS'!D3</x:f>
        <x:v>BIZON Vector</x:v>
      </x:c>
      <x:c r="B6" s="9" t="str">
        <x:f>'01_WHEEL_MODELS'!C3</x:f>
        <x:v>vector</x:v>
      </x:c>
      <x:c r="C6" s="9" t="str">
        <x:f>'01_WHEEL_MODELS'!F3</x:f>
        <x:v>urban</x:v>
      </x:c>
      <x:c r="D6" s="9" t="str">
        <x:f>'20_CMS_IMPORT'!F6</x:f>
        <x:v>BIZON Vector 18×8.5 ET35</x:v>
      </x:c>
      <x:c r="E6" s="9" t="str">
        <x:f>'20_CMS_IMPORT'!E6</x:f>
        <x:v>BIZ-VECTOR-1885-ET35-5X1143</x:v>
      </x:c>
      <x:c r="F6" s="25" t="n">
        <x:f>'20_CMS_IMPORT'!M6</x:f>
        <x:v>18</x:v>
      </x:c>
      <x:c r="G6" s="25" t="n">
        <x:f>'20_CMS_IMPORT'!N6</x:f>
        <x:v>8.5</x:v>
      </x:c>
      <x:c r="H6" s="27" t="n">
        <x:f>'20_CMS_IMPORT'!O6</x:f>
        <x:v>35</x:v>
      </x:c>
      <x:c r="I6" s="9" t="str">
        <x:f>TEXT('20_CMS_IMPORT'!P6,"0")&amp;"×"&amp;IF(ROUND('20_CMS_IMPORT'!Q6,0)='20_CMS_IMPORT'!Q6,TEXT('20_CMS_IMPORT'!Q6,"0"),TEXT('20_CMS_IMPORT'!Q6,"0.0"))&amp;IF('20_CMS_IMPORT'!R6="","",", "&amp;TEXT('20_CMS_IMPORT'!R6,"0")&amp;"×"&amp;IF(ROUND('20_CMS_IMPORT'!S6,0)='20_CMS_IMPORT'!S6,TEXT('20_CMS_IMPORT'!S6,"0"),TEXT('20_CMS_IMPORT'!S6,"0.0")))</x:f>
        <x:v>5×114.3</x:v>
      </x:c>
      <x:c r="J6" s="25" t="n">
        <x:f>'20_CMS_IMPORT'!T6</x:f>
        <x:v>67.1</x:v>
      </x:c>
      <x:c r="K6" s="29" t="n">
        <x:f>'20_CMS_IMPORT'!U6</x:f>
        <x:v>750</x:v>
      </x:c>
      <x:c r="L6" s="9" t="str">
        <x:f>'20_CMS_IMPORT'!V6</x:f>
        <x:v>monoblock</x:v>
      </x:c>
      <x:c r="M6" s="9" t="str">
        <x:f>'20_CMS_IMPORT'!W6</x:f>
        <x:v>none</x:v>
      </x:c>
      <x:c r="N6" s="9" t="str">
        <x:f>'20_CMS_IMPORT'!X6</x:f>
        <x:v>flat</x:v>
      </x:c>
      <x:c r="O6" s="41" t="n">
        <x:f>'20_CMS_IMPORT'!Y6</x:f>
        <x:v>9.1</x:v>
      </x:c>
      <x:c r="P6" s="9" t="str">
        <x:f>'20_CMS_IMPORT'!Z6</x:f>
        <x:v>graphite</x:v>
      </x:c>
      <x:c r="Q6" s="9" t="str">
        <x:f>'20_CMS_IMPORT'!AA6</x:f>
        <x:v>graphite</x:v>
      </x:c>
      <x:c r="R6" s="9" t="str">
        <x:f>'20_CMS_IMPORT'!H6</x:f>
        <x:v>stock</x:v>
      </x:c>
      <x:c r="S6" s="9" t="b">
        <x:f>'20_CMS_IMPORT'!I6</x:f>
        <x:v>1</x:v>
      </x:c>
      <x:c r="T6" s="23" t="n">
        <x:f>IF('20_CMS_IMPORT'!J6="","",'20_CMS_IMPORT'!J6)</x:f>
        <x:v>119000</x:v>
      </x:c>
      <x:c r="U6" s="9" t="b">
        <x:f>'20_CMS_IMPORT'!K6</x:f>
        <x:v>0</x:v>
      </x:c>
      <x:c r="V6" s="19" t="n">
        <x:f>'20_CMS_IMPORT'!L6</x:f>
        <x:v>5</x:v>
      </x:c>
      <x:c r="W6" s="9" t="str">
        <x:f>'20_CMS_IMPORT'!G6</x:f>
        <x:v>published</x:v>
      </x:c>
      <x:c r="X6" s="9" t="str">
        <x:f>'20_CMS_IMPORT'!AB6</x:f>
        <x:v>internal_demo</x:v>
      </x:c>
      <x:c r="Y6" s="9" t="b">
        <x:f>'20_CMS_IMPORT'!AC6</x:f>
        <x:v>1</x:v>
      </x:c>
    </x:row>
    <x:row r="7" ht="15" hidden="0" customHeight="1">
      <x:c r="A7" s="10" t="str">
        <x:f>'01_WHEEL_MODELS'!D3</x:f>
        <x:v>BIZON Vector</x:v>
      </x:c>
      <x:c r="B7" s="10" t="str">
        <x:f>'01_WHEEL_MODELS'!C3</x:f>
        <x:v>vector</x:v>
      </x:c>
      <x:c r="C7" s="10" t="str">
        <x:f>'01_WHEEL_MODELS'!F3</x:f>
        <x:v>urban</x:v>
      </x:c>
      <x:c r="D7" s="10" t="str">
        <x:f>'20_CMS_IMPORT'!F7</x:f>
        <x:v>BIZON Vector 19×9.5 ET30</x:v>
      </x:c>
      <x:c r="E7" s="10" t="str">
        <x:f>'20_CMS_IMPORT'!E7</x:f>
        <x:v>BIZ-VECTOR-1995-ET30-5X1143</x:v>
      </x:c>
      <x:c r="F7" s="26" t="n">
        <x:f>'20_CMS_IMPORT'!M7</x:f>
        <x:v>19</x:v>
      </x:c>
      <x:c r="G7" s="26" t="n">
        <x:f>'20_CMS_IMPORT'!N7</x:f>
        <x:v>9.5</x:v>
      </x:c>
      <x:c r="H7" s="28" t="n">
        <x:f>'20_CMS_IMPORT'!O7</x:f>
        <x:v>30</x:v>
      </x:c>
      <x:c r="I7" s="10" t="str">
        <x:f>TEXT('20_CMS_IMPORT'!P7,"0")&amp;"×"&amp;IF(ROUND('20_CMS_IMPORT'!Q7,0)='20_CMS_IMPORT'!Q7,TEXT('20_CMS_IMPORT'!Q7,"0"),TEXT('20_CMS_IMPORT'!Q7,"0.0"))&amp;IF('20_CMS_IMPORT'!R7="","",", "&amp;TEXT('20_CMS_IMPORT'!R7,"0")&amp;"×"&amp;IF(ROUND('20_CMS_IMPORT'!S7,0)='20_CMS_IMPORT'!S7,TEXT('20_CMS_IMPORT'!S7,"0"),TEXT('20_CMS_IMPORT'!S7,"0.0")))</x:f>
        <x:v>5×114.3</x:v>
      </x:c>
      <x:c r="J7" s="26" t="n">
        <x:f>'20_CMS_IMPORT'!T7</x:f>
        <x:v>67.1</x:v>
      </x:c>
      <x:c r="K7" s="30" t="n">
        <x:f>'20_CMS_IMPORT'!U7</x:f>
        <x:v>780</x:v>
      </x:c>
      <x:c r="L7" s="10" t="str">
        <x:f>'20_CMS_IMPORT'!V7</x:f>
        <x:v>monoblock</x:v>
      </x:c>
      <x:c r="M7" s="10" t="str">
        <x:f>'20_CMS_IMPORT'!W7</x:f>
        <x:v>none</x:v>
      </x:c>
      <x:c r="N7" s="10" t="str">
        <x:f>'20_CMS_IMPORT'!X7</x:f>
        <x:v>concave</x:v>
      </x:c>
      <x:c r="O7" s="42" t="n">
        <x:f>'20_CMS_IMPORT'!Y7</x:f>
        <x:v>9.8</x:v>
      </x:c>
      <x:c r="P7" s="10" t="str">
        <x:f>'20_CMS_IMPORT'!Z7</x:f>
        <x:v>graphite</x:v>
      </x:c>
      <x:c r="Q7" s="10" t="str">
        <x:f>'20_CMS_IMPORT'!AA7</x:f>
        <x:v>graphite</x:v>
      </x:c>
      <x:c r="R7" s="10" t="str">
        <x:f>'20_CMS_IMPORT'!H7</x:f>
        <x:v>stock</x:v>
      </x:c>
      <x:c r="S7" s="10" t="b">
        <x:f>'20_CMS_IMPORT'!I7</x:f>
        <x:v>1</x:v>
      </x:c>
      <x:c r="T7" s="24" t="n">
        <x:f>IF('20_CMS_IMPORT'!J7="","",'20_CMS_IMPORT'!J7)</x:f>
        <x:v>139000</x:v>
      </x:c>
      <x:c r="U7" s="10" t="b">
        <x:f>'20_CMS_IMPORT'!K7</x:f>
        <x:v>0</x:v>
      </x:c>
      <x:c r="V7" s="20" t="n">
        <x:f>'20_CMS_IMPORT'!L7</x:f>
        <x:v>7</x:v>
      </x:c>
      <x:c r="W7" s="10" t="str">
        <x:f>'20_CMS_IMPORT'!G7</x:f>
        <x:v>published</x:v>
      </x:c>
      <x:c r="X7" s="10" t="str">
        <x:f>'20_CMS_IMPORT'!AB7</x:f>
        <x:v>internal_demo</x:v>
      </x:c>
      <x:c r="Y7" s="10" t="b">
        <x:f>'20_CMS_IMPORT'!AC7</x:f>
        <x:v>1</x:v>
      </x:c>
    </x:row>
    <x:row r="8" ht="15" hidden="0" customHeight="1">
      <x:c r="A8" s="9" t="str">
        <x:f>'01_WHEEL_MODELS'!D3</x:f>
        <x:v>BIZON Vector</x:v>
      </x:c>
      <x:c r="B8" s="9" t="str">
        <x:f>'01_WHEEL_MODELS'!C3</x:f>
        <x:v>vector</x:v>
      </x:c>
      <x:c r="C8" s="9" t="str">
        <x:f>'01_WHEEL_MODELS'!F3</x:f>
        <x:v>urban</x:v>
      </x:c>
      <x:c r="D8" s="9" t="str">
        <x:f>'20_CMS_IMPORT'!F8</x:f>
        <x:v>BIZON Vector 20×9 ET35</x:v>
      </x:c>
      <x:c r="E8" s="9" t="str">
        <x:f>'20_CMS_IMPORT'!E8</x:f>
        <x:v>BIZ-VECTOR-209-ET35-5X112</x:v>
      </x:c>
      <x:c r="F8" s="25" t="n">
        <x:f>'20_CMS_IMPORT'!M8</x:f>
        <x:v>20</x:v>
      </x:c>
      <x:c r="G8" s="25" t="n">
        <x:f>'20_CMS_IMPORT'!N8</x:f>
        <x:v>9</x:v>
      </x:c>
      <x:c r="H8" s="27" t="n">
        <x:f>'20_CMS_IMPORT'!O8</x:f>
        <x:v>35</x:v>
      </x:c>
      <x:c r="I8" s="9" t="str">
        <x:f>TEXT('20_CMS_IMPORT'!P8,"0")&amp;"×"&amp;IF(ROUND('20_CMS_IMPORT'!Q8,0)='20_CMS_IMPORT'!Q8,TEXT('20_CMS_IMPORT'!Q8,"0"),TEXT('20_CMS_IMPORT'!Q8,"0.0"))&amp;IF('20_CMS_IMPORT'!R8="","",", "&amp;TEXT('20_CMS_IMPORT'!R8,"0")&amp;"×"&amp;IF(ROUND('20_CMS_IMPORT'!S8,0)='20_CMS_IMPORT'!S8,TEXT('20_CMS_IMPORT'!S8,"0"),TEXT('20_CMS_IMPORT'!S8,"0.0")))</x:f>
        <x:v>5×112</x:v>
      </x:c>
      <x:c r="J8" s="25" t="n">
        <x:f>'20_CMS_IMPORT'!T8</x:f>
        <x:v>66.6</x:v>
      </x:c>
      <x:c r="K8" s="29" t="n">
        <x:f>'20_CMS_IMPORT'!U8</x:f>
        <x:v>800</x:v>
      </x:c>
      <x:c r="L8" s="9" t="str">
        <x:f>'20_CMS_IMPORT'!V8</x:f>
        <x:v>monoblock</x:v>
      </x:c>
      <x:c r="M8" s="9" t="str">
        <x:f>'20_CMS_IMPORT'!W8</x:f>
        <x:v>none</x:v>
      </x:c>
      <x:c r="N8" s="9" t="str">
        <x:f>'20_CMS_IMPORT'!X8</x:f>
        <x:v>flat</x:v>
      </x:c>
      <x:c r="O8" s="41" t="n">
        <x:f>'20_CMS_IMPORT'!Y8</x:f>
        <x:v>10.6</x:v>
      </x:c>
      <x:c r="P8" s="9" t="str">
        <x:f>'20_CMS_IMPORT'!Z8</x:f>
        <x:v>graphite</x:v>
      </x:c>
      <x:c r="Q8" s="9" t="str">
        <x:f>'20_CMS_IMPORT'!AA8</x:f>
        <x:v>graphite</x:v>
      </x:c>
      <x:c r="R8" s="9" t="str">
        <x:f>'20_CMS_IMPORT'!H8</x:f>
        <x:v>stock</x:v>
      </x:c>
      <x:c r="S8" s="9" t="b">
        <x:f>'20_CMS_IMPORT'!I8</x:f>
        <x:v>1</x:v>
      </x:c>
      <x:c r="T8" s="23" t="n">
        <x:f>IF('20_CMS_IMPORT'!J8="","",'20_CMS_IMPORT'!J8)</x:f>
        <x:v>154000</x:v>
      </x:c>
      <x:c r="U8" s="9" t="b">
        <x:f>'20_CMS_IMPORT'!K8</x:f>
        <x:v>0</x:v>
      </x:c>
      <x:c r="V8" s="19" t="n">
        <x:f>'20_CMS_IMPORT'!L8</x:f>
        <x:v>7</x:v>
      </x:c>
      <x:c r="W8" s="9" t="str">
        <x:f>'20_CMS_IMPORT'!G8</x:f>
        <x:v>published</x:v>
      </x:c>
      <x:c r="X8" s="9" t="str">
        <x:f>'20_CMS_IMPORT'!AB8</x:f>
        <x:v>internal_demo</x:v>
      </x:c>
      <x:c r="Y8" s="9" t="b">
        <x:f>'20_CMS_IMPORT'!AC8</x:f>
        <x:v>1</x:v>
      </x:c>
    </x:row>
    <x:row r="9" ht="15" hidden="0" customHeight="1">
      <x:c r="A9" s="10" t="str">
        <x:f>'01_WHEEL_MODELS'!D3</x:f>
        <x:v>BIZON Vector</x:v>
      </x:c>
      <x:c r="B9" s="10" t="str">
        <x:f>'01_WHEEL_MODELS'!C3</x:f>
        <x:v>vector</x:v>
      </x:c>
      <x:c r="C9" s="10" t="str">
        <x:f>'01_WHEEL_MODELS'!F3</x:f>
        <x:v>urban</x:v>
      </x:c>
      <x:c r="D9" s="10" t="str">
        <x:f>'20_CMS_IMPORT'!F9</x:f>
        <x:v>BIZON Vector 20×10.5 ET40</x:v>
      </x:c>
      <x:c r="E9" s="10" t="str">
        <x:f>'20_CMS_IMPORT'!E9</x:f>
        <x:v>BIZ-VECTOR-20105-ET40-5X112</x:v>
      </x:c>
      <x:c r="F9" s="26" t="n">
        <x:f>'20_CMS_IMPORT'!M9</x:f>
        <x:v>20</x:v>
      </x:c>
      <x:c r="G9" s="26" t="n">
        <x:f>'20_CMS_IMPORT'!N9</x:f>
        <x:v>10.5</x:v>
      </x:c>
      <x:c r="H9" s="28" t="n">
        <x:f>'20_CMS_IMPORT'!O9</x:f>
        <x:v>40</x:v>
      </x:c>
      <x:c r="I9" s="10" t="str">
        <x:f>TEXT('20_CMS_IMPORT'!P9,"0")&amp;"×"&amp;IF(ROUND('20_CMS_IMPORT'!Q9,0)='20_CMS_IMPORT'!Q9,TEXT('20_CMS_IMPORT'!Q9,"0"),TEXT('20_CMS_IMPORT'!Q9,"0.0"))&amp;IF('20_CMS_IMPORT'!R9="","",", "&amp;TEXT('20_CMS_IMPORT'!R9,"0")&amp;"×"&amp;IF(ROUND('20_CMS_IMPORT'!S9,0)='20_CMS_IMPORT'!S9,TEXT('20_CMS_IMPORT'!S9,"0"),TEXT('20_CMS_IMPORT'!S9,"0.0")))</x:f>
        <x:v>5×112</x:v>
      </x:c>
      <x:c r="J9" s="26" t="n">
        <x:f>'20_CMS_IMPORT'!T9</x:f>
        <x:v>66.6</x:v>
      </x:c>
      <x:c r="K9" s="30" t="n">
        <x:f>'20_CMS_IMPORT'!U9</x:f>
        <x:v>820</x:v>
      </x:c>
      <x:c r="L9" s="10" t="str">
        <x:f>'20_CMS_IMPORT'!V9</x:f>
        <x:v>two_piece</x:v>
      </x:c>
      <x:c r="M9" s="10" t="str">
        <x:f>'20_CMS_IMPORT'!W9</x:f>
        <x:v>none</x:v>
      </x:c>
      <x:c r="N9" s="10" t="str">
        <x:f>'20_CMS_IMPORT'!X9</x:f>
        <x:v>deep_concave</x:v>
      </x:c>
      <x:c r="O9" s="42" t="n">
        <x:f>'20_CMS_IMPORT'!Y9</x:f>
        <x:v>12.4</x:v>
      </x:c>
      <x:c r="P9" s="10" t="str">
        <x:f>'20_CMS_IMPORT'!Z9</x:f>
        <x:v>brushed_clear</x:v>
      </x:c>
      <x:c r="Q9" s="10" t="str">
        <x:f>'20_CMS_IMPORT'!AA9</x:f>
        <x:v>silver</x:v>
      </x:c>
      <x:c r="R9" s="10" t="str">
        <x:f>'20_CMS_IMPORT'!H9</x:f>
        <x:v>made_to_order</x:v>
      </x:c>
      <x:c r="S9" s="10" t="b">
        <x:f>'20_CMS_IMPORT'!I9</x:f>
        <x:v>0</x:v>
      </x:c>
      <x:c r="T9" s="24" t="str">
        <x:f>IF('20_CMS_IMPORT'!J9="","",'20_CMS_IMPORT'!J9)</x:f>
      </x:c>
      <x:c r="U9" s="10" t="b">
        <x:f>'20_CMS_IMPORT'!K9</x:f>
        <x:v>1</x:v>
      </x:c>
      <x:c r="V9" s="20" t="n">
        <x:f>'20_CMS_IMPORT'!L9</x:f>
        <x:v>28</x:v>
      </x:c>
      <x:c r="W9" s="10" t="str">
        <x:f>'20_CMS_IMPORT'!G9</x:f>
        <x:v>published</x:v>
      </x:c>
      <x:c r="X9" s="10" t="str">
        <x:f>'20_CMS_IMPORT'!AB9</x:f>
        <x:v>internal_demo</x:v>
      </x:c>
      <x:c r="Y9" s="10" t="b">
        <x:f>'20_CMS_IMPORT'!AC9</x:f>
        <x:v>1</x:v>
      </x:c>
    </x:row>
    <x:row r="10" ht="15" hidden="0" customHeight="1">
      <x:c r="A10" s="9" t="str">
        <x:f>'01_WHEEL_MODELS'!D3</x:f>
        <x:v>BIZON Vector</x:v>
      </x:c>
      <x:c r="B10" s="9" t="str">
        <x:f>'01_WHEEL_MODELS'!C3</x:f>
        <x:v>vector</x:v>
      </x:c>
      <x:c r="C10" s="9" t="str">
        <x:f>'01_WHEEL_MODELS'!F3</x:f>
        <x:v>urban</x:v>
      </x:c>
      <x:c r="D10" s="9" t="str">
        <x:f>'20_CMS_IMPORT'!F10</x:f>
        <x:v>BIZON Vector 21×10.5 ET38</x:v>
      </x:c>
      <x:c r="E10" s="9" t="str">
        <x:f>'20_CMS_IMPORT'!E10</x:f>
        <x:v>BIZ-VECTOR-21105-ET38-5X120</x:v>
      </x:c>
      <x:c r="F10" s="25" t="n">
        <x:f>'20_CMS_IMPORT'!M10</x:f>
        <x:v>21</x:v>
      </x:c>
      <x:c r="G10" s="25" t="n">
        <x:f>'20_CMS_IMPORT'!N10</x:f>
        <x:v>10.5</x:v>
      </x:c>
      <x:c r="H10" s="27" t="n">
        <x:f>'20_CMS_IMPORT'!O10</x:f>
        <x:v>38</x:v>
      </x:c>
      <x:c r="I10" s="9" t="str">
        <x:f>TEXT('20_CMS_IMPORT'!P10,"0")&amp;"×"&amp;IF(ROUND('20_CMS_IMPORT'!Q10,0)='20_CMS_IMPORT'!Q10,TEXT('20_CMS_IMPORT'!Q10,"0"),TEXT('20_CMS_IMPORT'!Q10,"0.0"))&amp;IF('20_CMS_IMPORT'!R10="","",", "&amp;TEXT('20_CMS_IMPORT'!R10,"0")&amp;"×"&amp;IF(ROUND('20_CMS_IMPORT'!S10,0)='20_CMS_IMPORT'!S10,TEXT('20_CMS_IMPORT'!S10,"0"),TEXT('20_CMS_IMPORT'!S10,"0.0")))</x:f>
        <x:v>5×120</x:v>
      </x:c>
      <x:c r="J10" s="25" t="n">
        <x:f>'20_CMS_IMPORT'!T10</x:f>
        <x:v>72.6</x:v>
      </x:c>
      <x:c r="K10" s="29" t="n">
        <x:f>'20_CMS_IMPORT'!U10</x:f>
        <x:v>850</x:v>
      </x:c>
      <x:c r="L10" s="9" t="str">
        <x:f>'20_CMS_IMPORT'!V10</x:f>
        <x:v>three_piece</x:v>
      </x:c>
      <x:c r="M10" s="9" t="str">
        <x:f>'20_CMS_IMPORT'!W10</x:f>
        <x:v>none</x:v>
      </x:c>
      <x:c r="N10" s="9" t="str">
        <x:f>'20_CMS_IMPORT'!X10</x:f>
        <x:v>deep_concave</x:v>
      </x:c>
      <x:c r="O10" s="41" t="n">
        <x:f>'20_CMS_IMPORT'!Y10</x:f>
        <x:v>14.2</x:v>
      </x:c>
      <x:c r="P10" s="9" t="str">
        <x:f>'20_CMS_IMPORT'!Z10</x:f>
        <x:v>brushed_clear</x:v>
      </x:c>
      <x:c r="Q10" s="9" t="str">
        <x:f>'20_CMS_IMPORT'!AA10</x:f>
        <x:v>silver</x:v>
      </x:c>
      <x:c r="R10" s="9" t="str">
        <x:f>'20_CMS_IMPORT'!H10</x:f>
        <x:v>made_to_order</x:v>
      </x:c>
      <x:c r="S10" s="9" t="b">
        <x:f>'20_CMS_IMPORT'!I10</x:f>
        <x:v>0</x:v>
      </x:c>
      <x:c r="T10" s="23" t="str">
        <x:f>IF('20_CMS_IMPORT'!J10="","",'20_CMS_IMPORT'!J10)</x:f>
      </x:c>
      <x:c r="U10" s="9" t="b">
        <x:f>'20_CMS_IMPORT'!K10</x:f>
        <x:v>1</x:v>
      </x:c>
      <x:c r="V10" s="19" t="n">
        <x:f>'20_CMS_IMPORT'!L10</x:f>
        <x:v>32</x:v>
      </x:c>
      <x:c r="W10" s="9" t="str">
        <x:f>'20_CMS_IMPORT'!G10</x:f>
        <x:v>published</x:v>
      </x:c>
      <x:c r="X10" s="9" t="str">
        <x:f>'20_CMS_IMPORT'!AB10</x:f>
        <x:v>internal_demo</x:v>
      </x:c>
      <x:c r="Y10" s="9" t="b">
        <x:f>'20_CMS_IMPORT'!AC10</x:f>
        <x:v>1</x:v>
      </x:c>
    </x:row>
    <x:row r="11" ht="15" hidden="0" customHeight="1">
      <x:c r="A11" s="10" t="str">
        <x:f>'01_WHEEL_MODELS'!D4</x:f>
        <x:v>BIZON Nomad</x:v>
      </x:c>
      <x:c r="B11" s="10" t="str">
        <x:f>'01_WHEEL_MODELS'!C4</x:f>
        <x:v>nomad</x:v>
      </x:c>
      <x:c r="C11" s="10" t="str">
        <x:f>'01_WHEEL_MODELS'!F4</x:f>
        <x:v>expedition</x:v>
      </x:c>
      <x:c r="D11" s="10" t="str">
        <x:f>'20_CMS_IMPORT'!F11</x:f>
        <x:v>BIZON Nomad 17×8.5 ET10</x:v>
      </x:c>
      <x:c r="E11" s="10" t="str">
        <x:f>'20_CMS_IMPORT'!E11</x:f>
        <x:v>BIZ-NOMAD-1785-ET10-6X1397</x:v>
      </x:c>
      <x:c r="F11" s="26" t="n">
        <x:f>'20_CMS_IMPORT'!M11</x:f>
        <x:v>17</x:v>
      </x:c>
      <x:c r="G11" s="26" t="n">
        <x:f>'20_CMS_IMPORT'!N11</x:f>
        <x:v>8.5</x:v>
      </x:c>
      <x:c r="H11" s="28" t="n">
        <x:f>'20_CMS_IMPORT'!O11</x:f>
        <x:v>10</x:v>
      </x:c>
      <x:c r="I11" s="10" t="str">
        <x:f>TEXT('20_CMS_IMPORT'!P11,"0")&amp;"×"&amp;IF(ROUND('20_CMS_IMPORT'!Q11,0)='20_CMS_IMPORT'!Q11,TEXT('20_CMS_IMPORT'!Q11,"0"),TEXT('20_CMS_IMPORT'!Q11,"0.0"))&amp;IF('20_CMS_IMPORT'!R11="","",", "&amp;TEXT('20_CMS_IMPORT'!R11,"0")&amp;"×"&amp;IF(ROUND('20_CMS_IMPORT'!S11,0)='20_CMS_IMPORT'!S11,TEXT('20_CMS_IMPORT'!S11,"0"),TEXT('20_CMS_IMPORT'!S11,"0.0")))</x:f>
        <x:v>6×139.7</x:v>
      </x:c>
      <x:c r="J11" s="26" t="n">
        <x:f>'20_CMS_IMPORT'!T11</x:f>
        <x:v>106.1</x:v>
      </x:c>
      <x:c r="K11" s="30" t="n">
        <x:f>'20_CMS_IMPORT'!U11</x:f>
        <x:v>1150</x:v>
      </x:c>
      <x:c r="L11" s="10" t="str">
        <x:f>'20_CMS_IMPORT'!V11</x:f>
        <x:v>monoblock</x:v>
      </x:c>
      <x:c r="M11" s="10" t="str">
        <x:f>'20_CMS_IMPORT'!W11</x:f>
        <x:v>functional</x:v>
      </x:c>
      <x:c r="N11" s="10" t="str">
        <x:f>'20_CMS_IMPORT'!X11</x:f>
        <x:v>concave</x:v>
      </x:c>
      <x:c r="O11" s="42" t="n">
        <x:f>'20_CMS_IMPORT'!Y11</x:f>
        <x:v>11.6</x:v>
      </x:c>
      <x:c r="P11" s="10" t="str">
        <x:f>'20_CMS_IMPORT'!Z11</x:f>
        <x:v>bronze</x:v>
      </x:c>
      <x:c r="Q11" s="10" t="str">
        <x:f>'20_CMS_IMPORT'!AA11</x:f>
        <x:v>bronze</x:v>
      </x:c>
      <x:c r="R11" s="10" t="str">
        <x:f>'20_CMS_IMPORT'!H11</x:f>
        <x:v>stock</x:v>
      </x:c>
      <x:c r="S11" s="10" t="b">
        <x:f>'20_CMS_IMPORT'!I11</x:f>
        <x:v>1</x:v>
      </x:c>
      <x:c r="T11" s="24" t="n">
        <x:f>IF('20_CMS_IMPORT'!J11="","",'20_CMS_IMPORT'!J11)</x:f>
        <x:v>133000</x:v>
      </x:c>
      <x:c r="U11" s="10" t="b">
        <x:f>'20_CMS_IMPORT'!K11</x:f>
        <x:v>0</x:v>
      </x:c>
      <x:c r="V11" s="20" t="n">
        <x:f>'20_CMS_IMPORT'!L11</x:f>
        <x:v>5</x:v>
      </x:c>
      <x:c r="W11" s="10" t="str">
        <x:f>'20_CMS_IMPORT'!G11</x:f>
        <x:v>published</x:v>
      </x:c>
      <x:c r="X11" s="10" t="str">
        <x:f>'20_CMS_IMPORT'!AB11</x:f>
        <x:v>internal_demo</x:v>
      </x:c>
      <x:c r="Y11" s="10" t="b">
        <x:f>'20_CMS_IMPORT'!AC11</x:f>
        <x:v>1</x:v>
      </x:c>
    </x:row>
    <x:row r="12" ht="15" hidden="0" customHeight="1">
      <x:c r="A12" s="9" t="str">
        <x:f>'01_WHEEL_MODELS'!D4</x:f>
        <x:v>BIZON Nomad</x:v>
      </x:c>
      <x:c r="B12" s="9" t="str">
        <x:f>'01_WHEEL_MODELS'!C4</x:f>
        <x:v>nomad</x:v>
      </x:c>
      <x:c r="C12" s="9" t="str">
        <x:f>'01_WHEEL_MODELS'!F4</x:f>
        <x:v>expedition</x:v>
      </x:c>
      <x:c r="D12" s="9" t="str">
        <x:f>'20_CMS_IMPORT'!F12</x:f>
        <x:v>BIZON Nomad 18×9 ET0</x:v>
      </x:c>
      <x:c r="E12" s="9" t="str">
        <x:f>'20_CMS_IMPORT'!E12</x:f>
        <x:v>BIZ-NOMAD-189-ET0-6X1397</x:v>
      </x:c>
      <x:c r="F12" s="25" t="n">
        <x:f>'20_CMS_IMPORT'!M12</x:f>
        <x:v>18</x:v>
      </x:c>
      <x:c r="G12" s="25" t="n">
        <x:f>'20_CMS_IMPORT'!N12</x:f>
        <x:v>9</x:v>
      </x:c>
      <x:c r="H12" s="27" t="n">
        <x:f>'20_CMS_IMPORT'!O12</x:f>
        <x:v>0</x:v>
      </x:c>
      <x:c r="I12" s="9" t="str">
        <x:f>TEXT('20_CMS_IMPORT'!P12,"0")&amp;"×"&amp;IF(ROUND('20_CMS_IMPORT'!Q12,0)='20_CMS_IMPORT'!Q12,TEXT('20_CMS_IMPORT'!Q12,"0"),TEXT('20_CMS_IMPORT'!Q12,"0.0"))&amp;IF('20_CMS_IMPORT'!R12="","",", "&amp;TEXT('20_CMS_IMPORT'!R12,"0")&amp;"×"&amp;IF(ROUND('20_CMS_IMPORT'!S12,0)='20_CMS_IMPORT'!S12,TEXT('20_CMS_IMPORT'!S12,"0"),TEXT('20_CMS_IMPORT'!S12,"0.0")))</x:f>
        <x:v>6×139.7</x:v>
      </x:c>
      <x:c r="J12" s="25" t="n">
        <x:f>'20_CMS_IMPORT'!T12</x:f>
        <x:v>106.1</x:v>
      </x:c>
      <x:c r="K12" s="29" t="n">
        <x:f>'20_CMS_IMPORT'!U12</x:f>
        <x:v>1200</x:v>
      </x:c>
      <x:c r="L12" s="9" t="str">
        <x:f>'20_CMS_IMPORT'!V12</x:f>
        <x:v>monoblock</x:v>
      </x:c>
      <x:c r="M12" s="9" t="str">
        <x:f>'20_CMS_IMPORT'!W12</x:f>
        <x:v>functional</x:v>
      </x:c>
      <x:c r="N12" s="9" t="str">
        <x:f>'20_CMS_IMPORT'!X12</x:f>
        <x:v>deep_concave</x:v>
      </x:c>
      <x:c r="O12" s="41" t="n">
        <x:f>'20_CMS_IMPORT'!Y12</x:f>
        <x:v>12.7</x:v>
      </x:c>
      <x:c r="P12" s="9" t="str">
        <x:f>'20_CMS_IMPORT'!Z12</x:f>
        <x:v>bronze</x:v>
      </x:c>
      <x:c r="Q12" s="9" t="str">
        <x:f>'20_CMS_IMPORT'!AA12</x:f>
        <x:v>bronze</x:v>
      </x:c>
      <x:c r="R12" s="9" t="str">
        <x:f>'20_CMS_IMPORT'!H12</x:f>
        <x:v>stock</x:v>
      </x:c>
      <x:c r="S12" s="9" t="b">
        <x:f>'20_CMS_IMPORT'!I12</x:f>
        <x:v>1</x:v>
      </x:c>
      <x:c r="T12" s="23" t="n">
        <x:f>IF('20_CMS_IMPORT'!J12="","",'20_CMS_IMPORT'!J12)</x:f>
        <x:v>148000</x:v>
      </x:c>
      <x:c r="U12" s="9" t="b">
        <x:f>'20_CMS_IMPORT'!K12</x:f>
        <x:v>0</x:v>
      </x:c>
      <x:c r="V12" s="19" t="n">
        <x:f>'20_CMS_IMPORT'!L12</x:f>
        <x:v>6</x:v>
      </x:c>
      <x:c r="W12" s="9" t="str">
        <x:f>'20_CMS_IMPORT'!G12</x:f>
        <x:v>published</x:v>
      </x:c>
      <x:c r="X12" s="9" t="str">
        <x:f>'20_CMS_IMPORT'!AB12</x:f>
        <x:v>internal_demo</x:v>
      </x:c>
      <x:c r="Y12" s="9" t="b">
        <x:f>'20_CMS_IMPORT'!AC12</x:f>
        <x:v>1</x:v>
      </x:c>
    </x:row>
    <x:row r="13" ht="15" hidden="0" customHeight="1">
      <x:c r="A13" s="10" t="str">
        <x:f>'01_WHEEL_MODELS'!D4</x:f>
        <x:v>BIZON Nomad</x:v>
      </x:c>
      <x:c r="B13" s="10" t="str">
        <x:f>'01_WHEEL_MODELS'!C4</x:f>
        <x:v>nomad</x:v>
      </x:c>
      <x:c r="C13" s="10" t="str">
        <x:f>'01_WHEEL_MODELS'!F4</x:f>
        <x:v>expedition</x:v>
      </x:c>
      <x:c r="D13" s="10" t="str">
        <x:f>'20_CMS_IMPORT'!F13</x:f>
        <x:v>BIZON Nomad 18×9 ET18</x:v>
      </x:c>
      <x:c r="E13" s="10" t="str">
        <x:f>'20_CMS_IMPORT'!E13</x:f>
        <x:v>BIZ-NOMAD-189-ET18-6X1397</x:v>
      </x:c>
      <x:c r="F13" s="26" t="n">
        <x:f>'20_CMS_IMPORT'!M13</x:f>
        <x:v>18</x:v>
      </x:c>
      <x:c r="G13" s="26" t="n">
        <x:f>'20_CMS_IMPORT'!N13</x:f>
        <x:v>9</x:v>
      </x:c>
      <x:c r="H13" s="28" t="n">
        <x:f>'20_CMS_IMPORT'!O13</x:f>
        <x:v>18</x:v>
      </x:c>
      <x:c r="I13" s="10" t="str">
        <x:f>TEXT('20_CMS_IMPORT'!P13,"0")&amp;"×"&amp;IF(ROUND('20_CMS_IMPORT'!Q13,0)='20_CMS_IMPORT'!Q13,TEXT('20_CMS_IMPORT'!Q13,"0"),TEXT('20_CMS_IMPORT'!Q13,"0.0"))&amp;IF('20_CMS_IMPORT'!R13="","",", "&amp;TEXT('20_CMS_IMPORT'!R13,"0")&amp;"×"&amp;IF(ROUND('20_CMS_IMPORT'!S13,0)='20_CMS_IMPORT'!S13,TEXT('20_CMS_IMPORT'!S13,"0"),TEXT('20_CMS_IMPORT'!S13,"0.0")))</x:f>
        <x:v>6×139.7</x:v>
      </x:c>
      <x:c r="J13" s="26" t="n">
        <x:f>'20_CMS_IMPORT'!T13</x:f>
        <x:v>106.1</x:v>
      </x:c>
      <x:c r="K13" s="30" t="n">
        <x:f>'20_CMS_IMPORT'!U13</x:f>
        <x:v>1150</x:v>
      </x:c>
      <x:c r="L13" s="10" t="str">
        <x:f>'20_CMS_IMPORT'!V13</x:f>
        <x:v>two_piece</x:v>
      </x:c>
      <x:c r="M13" s="10" t="str">
        <x:f>'20_CMS_IMPORT'!W13</x:f>
        <x:v>simulated</x:v>
      </x:c>
      <x:c r="N13" s="10" t="str">
        <x:f>'20_CMS_IMPORT'!X13</x:f>
        <x:v>concave</x:v>
      </x:c>
      <x:c r="O13" s="42" t="n">
        <x:f>'20_CMS_IMPORT'!Y13</x:f>
        <x:v>14.1</x:v>
      </x:c>
      <x:c r="P13" s="10" t="str">
        <x:f>'20_CMS_IMPORT'!Z13</x:f>
        <x:v>satin_black</x:v>
      </x:c>
      <x:c r="Q13" s="10" t="str">
        <x:f>'20_CMS_IMPORT'!AA13</x:f>
        <x:v>black</x:v>
      </x:c>
      <x:c r="R13" s="10" t="str">
        <x:f>'20_CMS_IMPORT'!H13</x:f>
        <x:v>made_to_order</x:v>
      </x:c>
      <x:c r="S13" s="10" t="b">
        <x:f>'20_CMS_IMPORT'!I13</x:f>
        <x:v>0</x:v>
      </x:c>
      <x:c r="T13" s="24" t="str">
        <x:f>IF('20_CMS_IMPORT'!J13="","",'20_CMS_IMPORT'!J13)</x:f>
      </x:c>
      <x:c r="U13" s="10" t="b">
        <x:f>'20_CMS_IMPORT'!K13</x:f>
        <x:v>1</x:v>
      </x:c>
      <x:c r="V13" s="20" t="n">
        <x:f>'20_CMS_IMPORT'!L13</x:f>
        <x:v>28</x:v>
      </x:c>
      <x:c r="W13" s="10" t="str">
        <x:f>'20_CMS_IMPORT'!G13</x:f>
        <x:v>published</x:v>
      </x:c>
      <x:c r="X13" s="10" t="str">
        <x:f>'20_CMS_IMPORT'!AB13</x:f>
        <x:v>internal_demo</x:v>
      </x:c>
      <x:c r="Y13" s="10" t="b">
        <x:f>'20_CMS_IMPORT'!AC13</x:f>
        <x:v>1</x:v>
      </x:c>
    </x:row>
    <x:row r="14" ht="15" hidden="0" customHeight="1">
      <x:c r="A14" s="9" t="str">
        <x:f>'01_WHEEL_MODELS'!D4</x:f>
        <x:v>BIZON Nomad</x:v>
      </x:c>
      <x:c r="B14" s="9" t="str">
        <x:f>'01_WHEEL_MODELS'!C4</x:f>
        <x:v>nomad</x:v>
      </x:c>
      <x:c r="C14" s="9" t="str">
        <x:f>'01_WHEEL_MODELS'!F4</x:f>
        <x:v>expedition</x:v>
      </x:c>
      <x:c r="D14" s="9" t="str">
        <x:f>'20_CMS_IMPORT'!F14</x:f>
        <x:v>BIZON Nomad 20×9 ET25</x:v>
      </x:c>
      <x:c r="E14" s="9" t="str">
        <x:f>'20_CMS_IMPORT'!E14</x:f>
        <x:v>BIZ-NOMAD-209-ET25-6X1397</x:v>
      </x:c>
      <x:c r="F14" s="25" t="n">
        <x:f>'20_CMS_IMPORT'!M14</x:f>
        <x:v>20</x:v>
      </x:c>
      <x:c r="G14" s="25" t="n">
        <x:f>'20_CMS_IMPORT'!N14</x:f>
        <x:v>9</x:v>
      </x:c>
      <x:c r="H14" s="27" t="n">
        <x:f>'20_CMS_IMPORT'!O14</x:f>
        <x:v>25</x:v>
      </x:c>
      <x:c r="I14" s="9" t="str">
        <x:f>TEXT('20_CMS_IMPORT'!P14,"0")&amp;"×"&amp;IF(ROUND('20_CMS_IMPORT'!Q14,0)='20_CMS_IMPORT'!Q14,TEXT('20_CMS_IMPORT'!Q14,"0"),TEXT('20_CMS_IMPORT'!Q14,"0.0"))&amp;IF('20_CMS_IMPORT'!R14="","",", "&amp;TEXT('20_CMS_IMPORT'!R14,"0")&amp;"×"&amp;IF(ROUND('20_CMS_IMPORT'!S14,0)='20_CMS_IMPORT'!S14,TEXT('20_CMS_IMPORT'!S14,"0"),TEXT('20_CMS_IMPORT'!S14,"0.0")))</x:f>
        <x:v>6×139.7</x:v>
      </x:c>
      <x:c r="J14" s="25" t="n">
        <x:f>'20_CMS_IMPORT'!T14</x:f>
        <x:v>106.1</x:v>
      </x:c>
      <x:c r="K14" s="29" t="n">
        <x:f>'20_CMS_IMPORT'!U14</x:f>
        <x:v>1100</x:v>
      </x:c>
      <x:c r="L14" s="9" t="str">
        <x:f>'20_CMS_IMPORT'!V14</x:f>
        <x:v>monoblock</x:v>
      </x:c>
      <x:c r="M14" s="9" t="str">
        <x:f>'20_CMS_IMPORT'!W14</x:f>
        <x:v>none</x:v>
      </x:c>
      <x:c r="N14" s="9" t="str">
        <x:f>'20_CMS_IMPORT'!X14</x:f>
        <x:v>concave</x:v>
      </x:c>
      <x:c r="O14" s="41" t="n">
        <x:f>'20_CMS_IMPORT'!Y14</x:f>
        <x:v>13.8</x:v>
      </x:c>
      <x:c r="P14" s="9" t="str">
        <x:f>'20_CMS_IMPORT'!Z14</x:f>
        <x:v>bronze</x:v>
      </x:c>
      <x:c r="Q14" s="9" t="str">
        <x:f>'20_CMS_IMPORT'!AA14</x:f>
        <x:v>bronze</x:v>
      </x:c>
      <x:c r="R14" s="9" t="str">
        <x:f>'20_CMS_IMPORT'!H14</x:f>
        <x:v>stock</x:v>
      </x:c>
      <x:c r="S14" s="9" t="b">
        <x:f>'20_CMS_IMPORT'!I14</x:f>
        <x:v>1</x:v>
      </x:c>
      <x:c r="T14" s="23" t="n">
        <x:f>IF('20_CMS_IMPORT'!J14="","",'20_CMS_IMPORT'!J14)</x:f>
        <x:v>172000</x:v>
      </x:c>
      <x:c r="U14" s="9" t="b">
        <x:f>'20_CMS_IMPORT'!K14</x:f>
        <x:v>0</x:v>
      </x:c>
      <x:c r="V14" s="19" t="n">
        <x:f>'20_CMS_IMPORT'!L14</x:f>
        <x:v>7</x:v>
      </x:c>
      <x:c r="W14" s="9" t="str">
        <x:f>'20_CMS_IMPORT'!G14</x:f>
        <x:v>published</x:v>
      </x:c>
      <x:c r="X14" s="9" t="str">
        <x:f>'20_CMS_IMPORT'!AB14</x:f>
        <x:v>internal_demo</x:v>
      </x:c>
      <x:c r="Y14" s="9" t="b">
        <x:f>'20_CMS_IMPORT'!AC14</x:f>
        <x:v>1</x:v>
      </x:c>
    </x:row>
    <x:row r="15" ht="15" hidden="0" customHeight="1">
      <x:c r="A15" s="10" t="str">
        <x:f>'01_WHEEL_MODELS'!D5</x:f>
        <x:v>BIZON Ember</x:v>
      </x:c>
      <x:c r="B15" s="10" t="str">
        <x:f>'01_WHEEL_MODELS'!C5</x:f>
        <x:v>ember</x:v>
      </x:c>
      <x:c r="C15" s="10" t="str">
        <x:f>'01_WHEEL_MODELS'!F5</x:f>
        <x:v>performance</x:v>
      </x:c>
      <x:c r="D15" s="10" t="str">
        <x:f>'20_CMS_IMPORT'!F15</x:f>
        <x:v>BIZON Ember 18×9 ET25</x:v>
      </x:c>
      <x:c r="E15" s="10" t="str">
        <x:f>'20_CMS_IMPORT'!E15</x:f>
        <x:v>BIZ-EMBER-189-ET25-5X1143</x:v>
      </x:c>
      <x:c r="F15" s="26" t="n">
        <x:f>'20_CMS_IMPORT'!M15</x:f>
        <x:v>18</x:v>
      </x:c>
      <x:c r="G15" s="26" t="n">
        <x:f>'20_CMS_IMPORT'!N15</x:f>
        <x:v>9</x:v>
      </x:c>
      <x:c r="H15" s="28" t="n">
        <x:f>'20_CMS_IMPORT'!O15</x:f>
        <x:v>25</x:v>
      </x:c>
      <x:c r="I15" s="10" t="str">
        <x:f>TEXT('20_CMS_IMPORT'!P15,"0")&amp;"×"&amp;IF(ROUND('20_CMS_IMPORT'!Q15,0)='20_CMS_IMPORT'!Q15,TEXT('20_CMS_IMPORT'!Q15,"0"),TEXT('20_CMS_IMPORT'!Q15,"0.0"))&amp;IF('20_CMS_IMPORT'!R15="","",", "&amp;TEXT('20_CMS_IMPORT'!R15,"0")&amp;"×"&amp;IF(ROUND('20_CMS_IMPORT'!S15,0)='20_CMS_IMPORT'!S15,TEXT('20_CMS_IMPORT'!S15,"0"),TEXT('20_CMS_IMPORT'!S15,"0.0")))</x:f>
        <x:v>5×114.3</x:v>
      </x:c>
      <x:c r="J15" s="26" t="n">
        <x:f>'20_CMS_IMPORT'!T15</x:f>
        <x:v>66.1</x:v>
      </x:c>
      <x:c r="K15" s="30" t="n">
        <x:f>'20_CMS_IMPORT'!U15</x:f>
        <x:v>760</x:v>
      </x:c>
      <x:c r="L15" s="10" t="str">
        <x:f>'20_CMS_IMPORT'!V15</x:f>
        <x:v>monoblock</x:v>
      </x:c>
      <x:c r="M15" s="10" t="str">
        <x:f>'20_CMS_IMPORT'!W15</x:f>
        <x:v>none</x:v>
      </x:c>
      <x:c r="N15" s="10" t="str">
        <x:f>'20_CMS_IMPORT'!X15</x:f>
        <x:v>concave</x:v>
      </x:c>
      <x:c r="O15" s="42" t="n">
        <x:f>'20_CMS_IMPORT'!Y15</x:f>
        <x:v>9.4</x:v>
      </x:c>
      <x:c r="P15" s="10" t="str">
        <x:f>'20_CMS_IMPORT'!Z15</x:f>
        <x:v>red</x:v>
      </x:c>
      <x:c r="Q15" s="10" t="str">
        <x:f>'20_CMS_IMPORT'!AA15</x:f>
        <x:v>red</x:v>
      </x:c>
      <x:c r="R15" s="10" t="str">
        <x:f>'20_CMS_IMPORT'!H15</x:f>
        <x:v>stock</x:v>
      </x:c>
      <x:c r="S15" s="10" t="b">
        <x:f>'20_CMS_IMPORT'!I15</x:f>
        <x:v>1</x:v>
      </x:c>
      <x:c r="T15" s="24" t="n">
        <x:f>IF('20_CMS_IMPORT'!J15="","",'20_CMS_IMPORT'!J15)</x:f>
        <x:v>132000</x:v>
      </x:c>
      <x:c r="U15" s="10" t="b">
        <x:f>'20_CMS_IMPORT'!K15</x:f>
        <x:v>0</x:v>
      </x:c>
      <x:c r="V15" s="20" t="n">
        <x:f>'20_CMS_IMPORT'!L15</x:f>
        <x:v>6</x:v>
      </x:c>
      <x:c r="W15" s="10" t="str">
        <x:f>'20_CMS_IMPORT'!G15</x:f>
        <x:v>published</x:v>
      </x:c>
      <x:c r="X15" s="10" t="str">
        <x:f>'20_CMS_IMPORT'!AB15</x:f>
        <x:v>internal_demo</x:v>
      </x:c>
      <x:c r="Y15" s="10" t="b">
        <x:f>'20_CMS_IMPORT'!AC15</x:f>
        <x:v>1</x:v>
      </x:c>
    </x:row>
    <x:row r="16" ht="15" hidden="0" customHeight="1">
      <x:c r="A16" s="9" t="str">
        <x:f>'01_WHEEL_MODELS'!D5</x:f>
        <x:v>BIZON Ember</x:v>
      </x:c>
      <x:c r="B16" s="9" t="str">
        <x:f>'01_WHEEL_MODELS'!C5</x:f>
        <x:v>ember</x:v>
      </x:c>
      <x:c r="C16" s="9" t="str">
        <x:f>'01_WHEEL_MODELS'!F5</x:f>
        <x:v>performance</x:v>
      </x:c>
      <x:c r="D16" s="9" t="str">
        <x:f>'20_CMS_IMPORT'!F16</x:f>
        <x:v>BIZON Ember 18×10 ET38</x:v>
      </x:c>
      <x:c r="E16" s="9" t="str">
        <x:f>'20_CMS_IMPORT'!E16</x:f>
        <x:v>BIZ-EMBER-1810-ET38-5X1143</x:v>
      </x:c>
      <x:c r="F16" s="25" t="n">
        <x:f>'20_CMS_IMPORT'!M16</x:f>
        <x:v>18</x:v>
      </x:c>
      <x:c r="G16" s="25" t="n">
        <x:f>'20_CMS_IMPORT'!N16</x:f>
        <x:v>10</x:v>
      </x:c>
      <x:c r="H16" s="27" t="n">
        <x:f>'20_CMS_IMPORT'!O16</x:f>
        <x:v>38</x:v>
      </x:c>
      <x:c r="I16" s="9" t="str">
        <x:f>TEXT('20_CMS_IMPORT'!P16,"0")&amp;"×"&amp;IF(ROUND('20_CMS_IMPORT'!Q16,0)='20_CMS_IMPORT'!Q16,TEXT('20_CMS_IMPORT'!Q16,"0"),TEXT('20_CMS_IMPORT'!Q16,"0.0"))&amp;IF('20_CMS_IMPORT'!R16="","",", "&amp;TEXT('20_CMS_IMPORT'!R16,"0")&amp;"×"&amp;IF(ROUND('20_CMS_IMPORT'!S16,0)='20_CMS_IMPORT'!S16,TEXT('20_CMS_IMPORT'!S16,"0"),TEXT('20_CMS_IMPORT'!S16,"0.0")))</x:f>
        <x:v>5×114.3</x:v>
      </x:c>
      <x:c r="J16" s="25" t="n">
        <x:f>'20_CMS_IMPORT'!T16</x:f>
        <x:v>66.1</x:v>
      </x:c>
      <x:c r="K16" s="29" t="n">
        <x:f>'20_CMS_IMPORT'!U16</x:f>
        <x:v>780</x:v>
      </x:c>
      <x:c r="L16" s="9" t="str">
        <x:f>'20_CMS_IMPORT'!V16</x:f>
        <x:v>two_piece</x:v>
      </x:c>
      <x:c r="M16" s="9" t="str">
        <x:f>'20_CMS_IMPORT'!W16</x:f>
        <x:v>none</x:v>
      </x:c>
      <x:c r="N16" s="9" t="str">
        <x:f>'20_CMS_IMPORT'!X16</x:f>
        <x:v>deep_concave</x:v>
      </x:c>
      <x:c r="O16" s="41" t="n">
        <x:f>'20_CMS_IMPORT'!Y16</x:f>
        <x:v>11.2</x:v>
      </x:c>
      <x:c r="P16" s="9" t="str">
        <x:f>'20_CMS_IMPORT'!Z16</x:f>
        <x:v>red</x:v>
      </x:c>
      <x:c r="Q16" s="9" t="str">
        <x:f>'20_CMS_IMPORT'!AA16</x:f>
        <x:v>red</x:v>
      </x:c>
      <x:c r="R16" s="9" t="str">
        <x:f>'20_CMS_IMPORT'!H16</x:f>
        <x:v>made_to_order</x:v>
      </x:c>
      <x:c r="S16" s="9" t="b">
        <x:f>'20_CMS_IMPORT'!I16</x:f>
        <x:v>0</x:v>
      </x:c>
      <x:c r="T16" s="23" t="str">
        <x:f>IF('20_CMS_IMPORT'!J16="","",'20_CMS_IMPORT'!J16)</x:f>
      </x:c>
      <x:c r="U16" s="9" t="b">
        <x:f>'20_CMS_IMPORT'!K16</x:f>
        <x:v>1</x:v>
      </x:c>
      <x:c r="V16" s="19" t="n">
        <x:f>'20_CMS_IMPORT'!L16</x:f>
        <x:v>25</x:v>
      </x:c>
      <x:c r="W16" s="9" t="str">
        <x:f>'20_CMS_IMPORT'!G16</x:f>
        <x:v>published</x:v>
      </x:c>
      <x:c r="X16" s="9" t="str">
        <x:f>'20_CMS_IMPORT'!AB16</x:f>
        <x:v>internal_demo</x:v>
      </x:c>
      <x:c r="Y16" s="9" t="b">
        <x:f>'20_CMS_IMPORT'!AC16</x:f>
        <x:v>1</x:v>
      </x:c>
    </x:row>
    <x:row r="17" ht="15" hidden="0" customHeight="1">
      <x:c r="A17" s="10" t="str">
        <x:f>'01_WHEEL_MODELS'!D5</x:f>
        <x:v>BIZON Ember</x:v>
      </x:c>
      <x:c r="B17" s="10" t="str">
        <x:f>'01_WHEEL_MODELS'!C5</x:f>
        <x:v>ember</x:v>
      </x:c>
      <x:c r="C17" s="10" t="str">
        <x:f>'01_WHEEL_MODELS'!F5</x:f>
        <x:v>performance</x:v>
      </x:c>
      <x:c r="D17" s="10" t="str">
        <x:f>'20_CMS_IMPORT'!F17</x:f>
        <x:v>BIZON Ember 19×9.5 ET22</x:v>
      </x:c>
      <x:c r="E17" s="10" t="str">
        <x:f>'20_CMS_IMPORT'!E17</x:f>
        <x:v>BIZ-EMBER-1995-ET22-5X1143</x:v>
      </x:c>
      <x:c r="F17" s="26" t="n">
        <x:f>'20_CMS_IMPORT'!M17</x:f>
        <x:v>19</x:v>
      </x:c>
      <x:c r="G17" s="26" t="n">
        <x:f>'20_CMS_IMPORT'!N17</x:f>
        <x:v>9.5</x:v>
      </x:c>
      <x:c r="H17" s="28" t="n">
        <x:f>'20_CMS_IMPORT'!O17</x:f>
        <x:v>22</x:v>
      </x:c>
      <x:c r="I17" s="10" t="str">
        <x:f>TEXT('20_CMS_IMPORT'!P17,"0")&amp;"×"&amp;IF(ROUND('20_CMS_IMPORT'!Q17,0)='20_CMS_IMPORT'!Q17,TEXT('20_CMS_IMPORT'!Q17,"0"),TEXT('20_CMS_IMPORT'!Q17,"0.0"))&amp;IF('20_CMS_IMPORT'!R17="","",", "&amp;TEXT('20_CMS_IMPORT'!R17,"0")&amp;"×"&amp;IF(ROUND('20_CMS_IMPORT'!S17,0)='20_CMS_IMPORT'!S17,TEXT('20_CMS_IMPORT'!S17,"0"),TEXT('20_CMS_IMPORT'!S17,"0.0")))</x:f>
        <x:v>5×114.3</x:v>
      </x:c>
      <x:c r="J17" s="26" t="n">
        <x:f>'20_CMS_IMPORT'!T17</x:f>
        <x:v>66.1</x:v>
      </x:c>
      <x:c r="K17" s="30" t="n">
        <x:f>'20_CMS_IMPORT'!U17</x:f>
        <x:v>790</x:v>
      </x:c>
      <x:c r="L17" s="10" t="str">
        <x:f>'20_CMS_IMPORT'!V17</x:f>
        <x:v>monoblock</x:v>
      </x:c>
      <x:c r="M17" s="10" t="str">
        <x:f>'20_CMS_IMPORT'!W17</x:f>
        <x:v>none</x:v>
      </x:c>
      <x:c r="N17" s="10" t="str">
        <x:f>'20_CMS_IMPORT'!X17</x:f>
        <x:v>concave</x:v>
      </x:c>
      <x:c r="O17" s="42" t="n">
        <x:f>'20_CMS_IMPORT'!Y17</x:f>
        <x:v>10.1</x:v>
      </x:c>
      <x:c r="P17" s="10" t="str">
        <x:f>'20_CMS_IMPORT'!Z17</x:f>
        <x:v>red</x:v>
      </x:c>
      <x:c r="Q17" s="10" t="str">
        <x:f>'20_CMS_IMPORT'!AA17</x:f>
        <x:v>red</x:v>
      </x:c>
      <x:c r="R17" s="10" t="str">
        <x:f>'20_CMS_IMPORT'!H17</x:f>
        <x:v>stock</x:v>
      </x:c>
      <x:c r="S17" s="10" t="b">
        <x:f>'20_CMS_IMPORT'!I17</x:f>
        <x:v>1</x:v>
      </x:c>
      <x:c r="T17" s="24" t="n">
        <x:f>IF('20_CMS_IMPORT'!J17="","",'20_CMS_IMPORT'!J17)</x:f>
        <x:v>149000</x:v>
      </x:c>
      <x:c r="U17" s="10" t="b">
        <x:f>'20_CMS_IMPORT'!K17</x:f>
        <x:v>0</x:v>
      </x:c>
      <x:c r="V17" s="20" t="n">
        <x:f>'20_CMS_IMPORT'!L17</x:f>
        <x:v>7</x:v>
      </x:c>
      <x:c r="W17" s="10" t="str">
        <x:f>'20_CMS_IMPORT'!G17</x:f>
        <x:v>published</x:v>
      </x:c>
      <x:c r="X17" s="10" t="str">
        <x:f>'20_CMS_IMPORT'!AB17</x:f>
        <x:v>internal_demo</x:v>
      </x:c>
      <x:c r="Y17" s="10" t="b">
        <x:f>'20_CMS_IMPORT'!AC17</x:f>
        <x:v>1</x:v>
      </x:c>
    </x:row>
    <x:row r="18" ht="15" hidden="0" customHeight="1">
      <x:c r="A18" s="9" t="str">
        <x:f>'01_WHEEL_MODELS'!D5</x:f>
        <x:v>BIZON Ember</x:v>
      </x:c>
      <x:c r="B18" s="9" t="str">
        <x:f>'01_WHEEL_MODELS'!C5</x:f>
        <x:v>ember</x:v>
      </x:c>
      <x:c r="C18" s="9" t="str">
        <x:f>'01_WHEEL_MODELS'!F5</x:f>
        <x:v>performance</x:v>
      </x:c>
      <x:c r="D18" s="9" t="str">
        <x:f>'20_CMS_IMPORT'!F18</x:f>
        <x:v>BIZON Ember 19×10.5 ET35</x:v>
      </x:c>
      <x:c r="E18" s="9" t="str">
        <x:f>'20_CMS_IMPORT'!E18</x:f>
        <x:v>BIZ-EMBER-19105-ET35-5X1143</x:v>
      </x:c>
      <x:c r="F18" s="25" t="n">
        <x:f>'20_CMS_IMPORT'!M18</x:f>
        <x:v>19</x:v>
      </x:c>
      <x:c r="G18" s="25" t="n">
        <x:f>'20_CMS_IMPORT'!N18</x:f>
        <x:v>10.5</x:v>
      </x:c>
      <x:c r="H18" s="27" t="n">
        <x:f>'20_CMS_IMPORT'!O18</x:f>
        <x:v>35</x:v>
      </x:c>
      <x:c r="I18" s="9" t="str">
        <x:f>TEXT('20_CMS_IMPORT'!P18,"0")&amp;"×"&amp;IF(ROUND('20_CMS_IMPORT'!Q18,0)='20_CMS_IMPORT'!Q18,TEXT('20_CMS_IMPORT'!Q18,"0"),TEXT('20_CMS_IMPORT'!Q18,"0.0"))&amp;IF('20_CMS_IMPORT'!R18="","",", "&amp;TEXT('20_CMS_IMPORT'!R18,"0")&amp;"×"&amp;IF(ROUND('20_CMS_IMPORT'!S18,0)='20_CMS_IMPORT'!S18,TEXT('20_CMS_IMPORT'!S18,"0"),TEXT('20_CMS_IMPORT'!S18,"0.0")))</x:f>
        <x:v>5×114.3</x:v>
      </x:c>
      <x:c r="J18" s="25" t="n">
        <x:f>'20_CMS_IMPORT'!T18</x:f>
        <x:v>66.1</x:v>
      </x:c>
      <x:c r="K18" s="29" t="n">
        <x:f>'20_CMS_IMPORT'!U18</x:f>
        <x:v>820</x:v>
      </x:c>
      <x:c r="L18" s="9" t="str">
        <x:f>'20_CMS_IMPORT'!V18</x:f>
        <x:v>three_piece</x:v>
      </x:c>
      <x:c r="M18" s="9" t="str">
        <x:f>'20_CMS_IMPORT'!W18</x:f>
        <x:v>none</x:v>
      </x:c>
      <x:c r="N18" s="9" t="str">
        <x:f>'20_CMS_IMPORT'!X18</x:f>
        <x:v>deep_concave</x:v>
      </x:c>
      <x:c r="O18" s="41" t="n">
        <x:f>'20_CMS_IMPORT'!Y18</x:f>
        <x:v>12.8</x:v>
      </x:c>
      <x:c r="P18" s="9" t="str">
        <x:f>'20_CMS_IMPORT'!Z18</x:f>
        <x:v>red</x:v>
      </x:c>
      <x:c r="Q18" s="9" t="str">
        <x:f>'20_CMS_IMPORT'!AA18</x:f>
        <x:v>red</x:v>
      </x:c>
      <x:c r="R18" s="9" t="str">
        <x:f>'20_CMS_IMPORT'!H18</x:f>
        <x:v>made_to_order</x:v>
      </x:c>
      <x:c r="S18" s="9" t="b">
        <x:f>'20_CMS_IMPORT'!I18</x:f>
        <x:v>0</x:v>
      </x:c>
      <x:c r="T18" s="23" t="str">
        <x:f>IF('20_CMS_IMPORT'!J18="","",'20_CMS_IMPORT'!J18)</x:f>
      </x:c>
      <x:c r="U18" s="9" t="b">
        <x:f>'20_CMS_IMPORT'!K18</x:f>
        <x:v>1</x:v>
      </x:c>
      <x:c r="V18" s="19" t="n">
        <x:f>'20_CMS_IMPORT'!L18</x:f>
        <x:v>28</x:v>
      </x:c>
      <x:c r="W18" s="9" t="str">
        <x:f>'20_CMS_IMPORT'!G18</x:f>
        <x:v>published</x:v>
      </x:c>
      <x:c r="X18" s="9" t="str">
        <x:f>'20_CMS_IMPORT'!AB18</x:f>
        <x:v>internal_demo</x:v>
      </x:c>
      <x:c r="Y18" s="9" t="b">
        <x:f>'20_CMS_IMPORT'!AC18</x:f>
        <x:v>1</x:v>
      </x:c>
    </x:row>
    <x:row r="19" ht="15" hidden="0" customHeight="1">
      <x:c r="A19" s="10" t="str">
        <x:f>'01_WHEEL_MODELS'!D6</x:f>
        <x:v>BIZON Bastion</x:v>
      </x:c>
      <x:c r="B19" s="10" t="str">
        <x:f>'01_WHEEL_MODELS'!C6</x:f>
        <x:v>bastion</x:v>
      </x:c>
      <x:c r="C19" s="10" t="str">
        <x:f>'01_WHEEL_MODELS'!F6</x:f>
        <x:v>offroad</x:v>
      </x:c>
      <x:c r="D19" s="10" t="str">
        <x:f>'20_CMS_IMPORT'!F19</x:f>
        <x:v>BIZON Bastion 17×9 ET−12</x:v>
      </x:c>
      <x:c r="E19" s="10" t="str">
        <x:f>'20_CMS_IMPORT'!E19</x:f>
        <x:v>BIZ-BASTION-179-ETM12-5X127</x:v>
      </x:c>
      <x:c r="F19" s="26" t="n">
        <x:f>'20_CMS_IMPORT'!M19</x:f>
        <x:v>17</x:v>
      </x:c>
      <x:c r="G19" s="26" t="n">
        <x:f>'20_CMS_IMPORT'!N19</x:f>
        <x:v>9</x:v>
      </x:c>
      <x:c r="H19" s="28" t="n">
        <x:f>'20_CMS_IMPORT'!O19</x:f>
        <x:v>-12</x:v>
      </x:c>
      <x:c r="I19" s="10" t="str">
        <x:f>TEXT('20_CMS_IMPORT'!P19,"0")&amp;"×"&amp;IF(ROUND('20_CMS_IMPORT'!Q19,0)='20_CMS_IMPORT'!Q19,TEXT('20_CMS_IMPORT'!Q19,"0"),TEXT('20_CMS_IMPORT'!Q19,"0.0"))&amp;IF('20_CMS_IMPORT'!R19="","",", "&amp;TEXT('20_CMS_IMPORT'!R19,"0")&amp;"×"&amp;IF(ROUND('20_CMS_IMPORT'!S19,0)='20_CMS_IMPORT'!S19,TEXT('20_CMS_IMPORT'!S19,"0"),TEXT('20_CMS_IMPORT'!S19,"0.0")))</x:f>
        <x:v>5×127</x:v>
      </x:c>
      <x:c r="J19" s="26" t="n">
        <x:f>'20_CMS_IMPORT'!T19</x:f>
        <x:v>71.5</x:v>
      </x:c>
      <x:c r="K19" s="30" t="n">
        <x:f>'20_CMS_IMPORT'!U19</x:f>
        <x:v>1150</x:v>
      </x:c>
      <x:c r="L19" s="10" t="str">
        <x:f>'20_CMS_IMPORT'!V19</x:f>
        <x:v>monoblock</x:v>
      </x:c>
      <x:c r="M19" s="10" t="str">
        <x:f>'20_CMS_IMPORT'!W19</x:f>
        <x:v>functional</x:v>
      </x:c>
      <x:c r="N19" s="10" t="str">
        <x:f>'20_CMS_IMPORT'!X19</x:f>
        <x:v>deep_concave</x:v>
      </x:c>
      <x:c r="O19" s="42" t="n">
        <x:f>'20_CMS_IMPORT'!Y19</x:f>
        <x:v>12.3</x:v>
      </x:c>
      <x:c r="P19" s="10" t="str">
        <x:f>'20_CMS_IMPORT'!Z19</x:f>
        <x:v>dark_graphite</x:v>
      </x:c>
      <x:c r="Q19" s="10" t="str">
        <x:f>'20_CMS_IMPORT'!AA19</x:f>
        <x:v>graphite</x:v>
      </x:c>
      <x:c r="R19" s="10" t="str">
        <x:f>'20_CMS_IMPORT'!H19</x:f>
        <x:v>stock</x:v>
      </x:c>
      <x:c r="S19" s="10" t="b">
        <x:f>'20_CMS_IMPORT'!I19</x:f>
        <x:v>1</x:v>
      </x:c>
      <x:c r="T19" s="24" t="n">
        <x:f>IF('20_CMS_IMPORT'!J19="","",'20_CMS_IMPORT'!J19)</x:f>
        <x:v>146000</x:v>
      </x:c>
      <x:c r="U19" s="10" t="b">
        <x:f>'20_CMS_IMPORT'!K19</x:f>
        <x:v>0</x:v>
      </x:c>
      <x:c r="V19" s="20" t="n">
        <x:f>'20_CMS_IMPORT'!L19</x:f>
        <x:v>6</x:v>
      </x:c>
      <x:c r="W19" s="10" t="str">
        <x:f>'20_CMS_IMPORT'!G19</x:f>
        <x:v>published</x:v>
      </x:c>
      <x:c r="X19" s="10" t="str">
        <x:f>'20_CMS_IMPORT'!AB19</x:f>
        <x:v>internal_demo</x:v>
      </x:c>
      <x:c r="Y19" s="10" t="b">
        <x:f>'20_CMS_IMPORT'!AC19</x:f>
        <x:v>1</x:v>
      </x:c>
    </x:row>
    <x:row r="20" ht="15" hidden="0" customHeight="1">
      <x:c r="A20" s="9" t="str">
        <x:f>'01_WHEEL_MODELS'!D6</x:f>
        <x:v>BIZON Bastion</x:v>
      </x:c>
      <x:c r="B20" s="9" t="str">
        <x:f>'01_WHEEL_MODELS'!C6</x:f>
        <x:v>bastion</x:v>
      </x:c>
      <x:c r="C20" s="9" t="str">
        <x:f>'01_WHEEL_MODELS'!F6</x:f>
        <x:v>offroad</x:v>
      </x:c>
      <x:c r="D20" s="9" t="str">
        <x:f>'20_CMS_IMPORT'!F20</x:f>
        <x:v>BIZON Bastion 18×9 ET0</x:v>
      </x:c>
      <x:c r="E20" s="9" t="str">
        <x:f>'20_CMS_IMPORT'!E20</x:f>
        <x:v>BIZ-BASTION-189-ET0-6X1397</x:v>
      </x:c>
      <x:c r="F20" s="25" t="n">
        <x:f>'20_CMS_IMPORT'!M20</x:f>
        <x:v>18</x:v>
      </x:c>
      <x:c r="G20" s="25" t="n">
        <x:f>'20_CMS_IMPORT'!N20</x:f>
        <x:v>9</x:v>
      </x:c>
      <x:c r="H20" s="27" t="n">
        <x:f>'20_CMS_IMPORT'!O20</x:f>
        <x:v>0</x:v>
      </x:c>
      <x:c r="I20" s="9" t="str">
        <x:f>TEXT('20_CMS_IMPORT'!P20,"0")&amp;"×"&amp;IF(ROUND('20_CMS_IMPORT'!Q20,0)='20_CMS_IMPORT'!Q20,TEXT('20_CMS_IMPORT'!Q20,"0"),TEXT('20_CMS_IMPORT'!Q20,"0.0"))&amp;IF('20_CMS_IMPORT'!R20="","",", "&amp;TEXT('20_CMS_IMPORT'!R20,"0")&amp;"×"&amp;IF(ROUND('20_CMS_IMPORT'!S20,0)='20_CMS_IMPORT'!S20,TEXT('20_CMS_IMPORT'!S20,"0"),TEXT('20_CMS_IMPORT'!S20,"0.0")))</x:f>
        <x:v>6×139.7</x:v>
      </x:c>
      <x:c r="J20" s="25" t="n">
        <x:f>'20_CMS_IMPORT'!T20</x:f>
        <x:v>106.1</x:v>
      </x:c>
      <x:c r="K20" s="29" t="n">
        <x:f>'20_CMS_IMPORT'!U20</x:f>
        <x:v>1200</x:v>
      </x:c>
      <x:c r="L20" s="9" t="str">
        <x:f>'20_CMS_IMPORT'!V20</x:f>
        <x:v>monoblock</x:v>
      </x:c>
      <x:c r="M20" s="9" t="str">
        <x:f>'20_CMS_IMPORT'!W20</x:f>
        <x:v>functional</x:v>
      </x:c>
      <x:c r="N20" s="9" t="str">
        <x:f>'20_CMS_IMPORT'!X20</x:f>
        <x:v>deep_concave</x:v>
      </x:c>
      <x:c r="O20" s="41" t="n">
        <x:f>'20_CMS_IMPORT'!Y20</x:f>
        <x:v>13.2</x:v>
      </x:c>
      <x:c r="P20" s="9" t="str">
        <x:f>'20_CMS_IMPORT'!Z20</x:f>
        <x:v>dark_graphite</x:v>
      </x:c>
      <x:c r="Q20" s="9" t="str">
        <x:f>'20_CMS_IMPORT'!AA20</x:f>
        <x:v>graphite</x:v>
      </x:c>
      <x:c r="R20" s="9" t="str">
        <x:f>'20_CMS_IMPORT'!H20</x:f>
        <x:v>stock</x:v>
      </x:c>
      <x:c r="S20" s="9" t="b">
        <x:f>'20_CMS_IMPORT'!I20</x:f>
        <x:v>1</x:v>
      </x:c>
      <x:c r="T20" s="23" t="n">
        <x:f>IF('20_CMS_IMPORT'!J20="","",'20_CMS_IMPORT'!J20)</x:f>
        <x:v>158000</x:v>
      </x:c>
      <x:c r="U20" s="9" t="b">
        <x:f>'20_CMS_IMPORT'!K20</x:f>
        <x:v>0</x:v>
      </x:c>
      <x:c r="V20" s="19" t="n">
        <x:f>'20_CMS_IMPORT'!L20</x:f>
        <x:v>6</x:v>
      </x:c>
      <x:c r="W20" s="9" t="str">
        <x:f>'20_CMS_IMPORT'!G20</x:f>
        <x:v>published</x:v>
      </x:c>
      <x:c r="X20" s="9" t="str">
        <x:f>'20_CMS_IMPORT'!AB20</x:f>
        <x:v>internal_demo</x:v>
      </x:c>
      <x:c r="Y20" s="9" t="b">
        <x:f>'20_CMS_IMPORT'!AC20</x:f>
        <x:v>1</x:v>
      </x:c>
    </x:row>
    <x:row r="21" ht="15" hidden="0" customHeight="1">
      <x:c r="A21" s="10" t="str">
        <x:f>'01_WHEEL_MODELS'!D6</x:f>
        <x:v>BIZON Bastion</x:v>
      </x:c>
      <x:c r="B21" s="10" t="str">
        <x:f>'01_WHEEL_MODELS'!C6</x:f>
        <x:v>bastion</x:v>
      </x:c>
      <x:c r="C21" s="10" t="str">
        <x:f>'01_WHEEL_MODELS'!F6</x:f>
        <x:v>offroad</x:v>
      </x:c>
      <x:c r="D21" s="10" t="str">
        <x:f>'20_CMS_IMPORT'!F21</x:f>
        <x:v>BIZON Bastion 20×10 ET−18</x:v>
      </x:c>
      <x:c r="E21" s="10" t="str">
        <x:f>'20_CMS_IMPORT'!E21</x:f>
        <x:v>BIZ-BASTION-2010-ETM18-6X1397</x:v>
      </x:c>
      <x:c r="F21" s="26" t="n">
        <x:f>'20_CMS_IMPORT'!M21</x:f>
        <x:v>20</x:v>
      </x:c>
      <x:c r="G21" s="26" t="n">
        <x:f>'20_CMS_IMPORT'!N21</x:f>
        <x:v>10</x:v>
      </x:c>
      <x:c r="H21" s="28" t="n">
        <x:f>'20_CMS_IMPORT'!O21</x:f>
        <x:v>-18</x:v>
      </x:c>
      <x:c r="I21" s="10" t="str">
        <x:f>TEXT('20_CMS_IMPORT'!P21,"0")&amp;"×"&amp;IF(ROUND('20_CMS_IMPORT'!Q21,0)='20_CMS_IMPORT'!Q21,TEXT('20_CMS_IMPORT'!Q21,"0"),TEXT('20_CMS_IMPORT'!Q21,"0.0"))&amp;IF('20_CMS_IMPORT'!R21="","",", "&amp;TEXT('20_CMS_IMPORT'!R21,"0")&amp;"×"&amp;IF(ROUND('20_CMS_IMPORT'!S21,0)='20_CMS_IMPORT'!S21,TEXT('20_CMS_IMPORT'!S21,"0"),TEXT('20_CMS_IMPORT'!S21,"0.0")))</x:f>
        <x:v>6×139.7</x:v>
      </x:c>
      <x:c r="J21" s="26" t="n">
        <x:f>'20_CMS_IMPORT'!T21</x:f>
        <x:v>106.1</x:v>
      </x:c>
      <x:c r="K21" s="30" t="n">
        <x:f>'20_CMS_IMPORT'!U21</x:f>
        <x:v>1200</x:v>
      </x:c>
      <x:c r="L21" s="10" t="str">
        <x:f>'20_CMS_IMPORT'!V21</x:f>
        <x:v>three_piece</x:v>
      </x:c>
      <x:c r="M21" s="10" t="str">
        <x:f>'20_CMS_IMPORT'!W21</x:f>
        <x:v>functional</x:v>
      </x:c>
      <x:c r="N21" s="10" t="str">
        <x:f>'20_CMS_IMPORT'!X21</x:f>
        <x:v>deep_concave</x:v>
      </x:c>
      <x:c r="O21" s="42" t="n">
        <x:f>'20_CMS_IMPORT'!Y21</x:f>
        <x:v>16.4</x:v>
      </x:c>
      <x:c r="P21" s="10" t="str">
        <x:f>'20_CMS_IMPORT'!Z21</x:f>
        <x:v>satin_black</x:v>
      </x:c>
      <x:c r="Q21" s="10" t="str">
        <x:f>'20_CMS_IMPORT'!AA21</x:f>
        <x:v>black</x:v>
      </x:c>
      <x:c r="R21" s="10" t="str">
        <x:f>'20_CMS_IMPORT'!H21</x:f>
        <x:v>made_to_order</x:v>
      </x:c>
      <x:c r="S21" s="10" t="b">
        <x:f>'20_CMS_IMPORT'!I21</x:f>
        <x:v>0</x:v>
      </x:c>
      <x:c r="T21" s="24" t="str">
        <x:f>IF('20_CMS_IMPORT'!J21="","",'20_CMS_IMPORT'!J21)</x:f>
      </x:c>
      <x:c r="U21" s="10" t="b">
        <x:f>'20_CMS_IMPORT'!K21</x:f>
        <x:v>1</x:v>
      </x:c>
      <x:c r="V21" s="20" t="n">
        <x:f>'20_CMS_IMPORT'!L21</x:f>
        <x:v>35</x:v>
      </x:c>
      <x:c r="W21" s="10" t="str">
        <x:f>'20_CMS_IMPORT'!G21</x:f>
        <x:v>published</x:v>
      </x:c>
      <x:c r="X21" s="10" t="str">
        <x:f>'20_CMS_IMPORT'!AB21</x:f>
        <x:v>internal_demo</x:v>
      </x:c>
      <x:c r="Y21" s="10" t="b">
        <x:f>'20_CMS_IMPORT'!AC21</x:f>
        <x:v>1</x:v>
      </x:c>
    </x:row>
  </x:sheetData>
  <x:conditionalFormatting sqref="W2:W21">
    <x:cfRule type="containsText" dxfId="207" priority="1" operator="containsText" text="published"/>
    <x:cfRule type="containsText" dxfId="208" priority="2" operator="containsText" text="ok"/>
    <x:cfRule type="containsText" dxfId="209" priority="3" operator="containsText" text="pass"/>
    <x:cfRule type="containsText" dxfId="210" priority="4" operator="containsText" text="compatible"/>
    <x:cfRule type="containsText" dxfId="211" priority="5" operator="containsText" text="review"/>
    <x:cfRule type="containsText" dxfId="212" priority="6" operator="containsText" text="conditional"/>
    <x:cfRule type="containsText" dxfId="213" priority="7" operator="containsText" text="error"/>
    <x:cfRule type="containsText" dxfId="214" priority="8" operator="containsText" text="fail"/>
    <x:cfRule type="containsText" dxfId="215" priority="9" operator="containsText" text="archived"/>
  </x:conditionalFormatting>
  <x:pageMargins left="0.7" right="0.7" top="0.75" bottom="0.75" header="0.3" footer="0.3"/>
  <x:tableParts count="1">
    <x:tablePart xmlns:r="http://schemas.openxmlformats.org/officeDocument/2006/relationships" r:id="R885a4cbe4ead4a6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18" hidden="0" customWidth="1"/>
    <x:col min="4" max="4" width="12" hidden="0" customWidth="1"/>
    <x:col min="5" max="5" width="18" hidden="0" customWidth="1"/>
    <x:col min="6" max="6" width="17" hidden="0" customWidth="1"/>
    <x:col min="7" max="7" width="34" hidden="0" customWidth="1"/>
    <x:col min="8" max="8" width="34" hidden="0" customWidth="1"/>
    <x:col min="9" max="9" width="13" hidden="0" customWidth="1"/>
    <x:col min="10" max="10" width="18" hidden="0" customWidth="1"/>
    <x:col min="11" max="11" width="26" hidden="0" customWidth="1"/>
  </x:cols>
  <x:sheetData>
    <x:row r="1" ht="30" customHeight="1">
      <x:c r="A1" s="8" t="str">
        <x:v>change_id</x:v>
      </x:c>
      <x:c r="B1" s="8" t="str">
        <x:v>version</x:v>
      </x:c>
      <x:c r="C1" s="8" t="str">
        <x:v>changed_at</x:v>
      </x:c>
      <x:c r="D1" s="8" t="str">
        <x:v>changed_by</x:v>
      </x:c>
      <x:c r="E1" s="8" t="str">
        <x:v>change_type</x:v>
      </x:c>
      <x:c r="F1" s="8" t="str">
        <x:v>affected_sheets</x:v>
      </x:c>
      <x:c r="G1" s="8" t="str">
        <x:v>summary_ru</x:v>
      </x:c>
      <x:c r="H1" s="8" t="str">
        <x:v>reason_ru</x:v>
      </x:c>
      <x:c r="I1" s="8" t="str">
        <x:v>approved_by</x:v>
      </x:c>
      <x:c r="J1" s="8" t="str">
        <x:v>approval_status</x:v>
      </x:c>
      <x:c r="K1" s="8" t="str">
        <x:v>source_id</x:v>
      </x:c>
    </x:row>
    <x:row r="2" ht="36" hidden="0" customHeight="1">
      <x:c r="A2" s="9" t="str">
        <x:v>CHG-001</x:v>
      </x:c>
      <x:c r="B2" s="9" t="str">
        <x:v>1.0.0</x:v>
      </x:c>
      <x:c r="C2" s="21" t="n">
        <x:v>46229</x:v>
      </x:c>
      <x:c r="D2" s="9" t="str">
        <x:v>Codex</x:v>
      </x:c>
      <x:c r="E2" s="9" t="str">
        <x:v>create</x:v>
      </x:c>
      <x:c r="F2" s="9" t="str">
        <x:v>all</x:v>
      </x:c>
      <x:c r="G2" s="9" t="str">
        <x:v>Создан тестовый Excel SSOT для пяти дизайнов кованых дисков BIZON.</x:v>
      </x:c>
      <x:c r="H2" s="9" t="str">
        <x:v>Проверка архитектуры характеристик, фильтров, применяемости и будущего Payload.</x:v>
      </x:c>
      <x:c r="I2" s="9" t="str">
        <x:v>BIZON owner</x:v>
      </x:c>
      <x:c r="J2" s="9" t="str">
        <x:v>approved</x:v>
      </x:c>
      <x:c r="K2" s="9" t="str">
        <x:v>SRC-INTERNAL-DEMO-20260726</x:v>
      </x:c>
    </x:row>
  </x:sheetData>
  <x:conditionalFormatting sqref="J2:J2">
    <x:cfRule type="containsText" dxfId="216" priority="1" operator="containsText" text="published"/>
    <x:cfRule type="containsText" dxfId="217" priority="2" operator="containsText" text="ok"/>
    <x:cfRule type="containsText" dxfId="218" priority="3" operator="containsText" text="pass"/>
    <x:cfRule type="containsText" dxfId="219" priority="4" operator="containsText" text="compatible"/>
    <x:cfRule type="containsText" dxfId="220" priority="5" operator="containsText" text="review"/>
    <x:cfRule type="containsText" dxfId="221" priority="6" operator="containsText" text="conditional"/>
    <x:cfRule type="containsText" dxfId="222" priority="7" operator="containsText" text="error"/>
    <x:cfRule type="containsText" dxfId="223" priority="8" operator="containsText" text="fail"/>
    <x:cfRule type="containsText" dxfId="224" priority="9" operator="containsText" text="archived"/>
  </x:conditionalFormatting>
  <x:pageMargins left="0.7" right="0.7" top="0.75" bottom="0.75" header="0.3" footer="0.3"/>
  <x:tableParts count="1">
    <x:tablePart xmlns:r="http://schemas.openxmlformats.org/officeDocument/2006/relationships" r:id="Ra2b5d89a3d394893"/>
  </x:tableParts>
</x:worksheet>
</file>