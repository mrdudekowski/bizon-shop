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7afa2cfbbf41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2919bdd5022245a6"/>
    <x:sheet xmlns:r="http://schemas.openxmlformats.org/officeDocument/2006/relationships" name="01_TIRE_MODELS" sheetId="2" r:id="Rbcfdf1642d7a4f9c"/>
    <x:sheet xmlns:r="http://schemas.openxmlformats.org/officeDocument/2006/relationships" name="02_TIRE_VARIANTS" sheetId="3" r:id="Ra99cad9317714219"/>
    <x:sheet xmlns:r="http://schemas.openxmlformats.org/officeDocument/2006/relationships" name="03_MODEL_FEATURES" sheetId="4" r:id="R4ff73ae127f04c11"/>
    <x:sheet xmlns:r="http://schemas.openxmlformats.org/officeDocument/2006/relationships" name="04_ATTRIBUTE_REGISTRY" sheetId="5" r:id="R209d220f51484655"/>
    <x:sheet xmlns:r="http://schemas.openxmlformats.org/officeDocument/2006/relationships" name="05_FILTER_REGISTRY" sheetId="6" r:id="R928848faa4824481"/>
    <x:sheet xmlns:r="http://schemas.openxmlformats.org/officeDocument/2006/relationships" name="06_FILTER_VALUES" sheetId="7" r:id="Re90bd1c8124d4d6d"/>
    <x:sheet xmlns:r="http://schemas.openxmlformats.org/officeDocument/2006/relationships" name="07_DICTIONARIES" sheetId="8" r:id="R84165d5702e74597"/>
    <x:sheet xmlns:r="http://schemas.openxmlformats.org/officeDocument/2006/relationships" name="08_PAYLOAD_MAPPING" sheetId="9" r:id="Rcc429d1782594e53"/>
    <x:sheet xmlns:r="http://schemas.openxmlformats.org/officeDocument/2006/relationships" name="09_DB_SCHEMA" sheetId="10" r:id="R66fe3afca5ec4bc2"/>
    <x:sheet xmlns:r="http://schemas.openxmlformats.org/officeDocument/2006/relationships" name="10_SOURCE_MAPPING" sheetId="11" r:id="R1654cc9c2aa74168"/>
    <x:sheet xmlns:r="http://schemas.openxmlformats.org/officeDocument/2006/relationships" name="11_QA_ISSUES" sheetId="12" r:id="Rea749b9e6ff64153"/>
    <x:sheet xmlns:r="http://schemas.openxmlformats.org/officeDocument/2006/relationships" name="12_VALIDATION_RULES" sheetId="13" r:id="Rd47d40cc03be40df"/>
    <x:sheet xmlns:r="http://schemas.openxmlformats.org/officeDocument/2006/relationships" name="13_CMS_IMPORT" sheetId="14" r:id="R893064393f1d4d10"/>
    <x:sheet xmlns:r="http://schemas.openxmlformats.org/officeDocument/2006/relationships" name="14_CHANGELOG" sheetId="15" r:id="Rd45346a9aeff41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 hh:mm"/>
    <x:numFmt numFmtId="201" formatCode="0.00"/>
    <x:numFmt numFmtId="202" formatCode="0"/>
  </x:numFmts>
  <x:fonts count="3">
    <x:font>
      <x:sz val="11"/>
      <x:name val="Carlito"/>
    </x:font>
    <x:font>
      <x:sz val="10"/>
      <x:color rgb="FF2E3432"/>
      <x:name val="Aptos"/>
    </x:font>
    <x:font>
      <x:b/>
      <x:sz val="10"/>
      <x:color rgb="FFFFFFFF"/>
      <x:name val="Aptos Display"/>
    </x:font>
  </x:fonts>
  <x:fills count="6">
    <x:fill>
      <x:patternFill patternType="none"/>
    </x:fill>
    <x:fill>
      <x:patternFill patternType="gray125"/>
    </x:fill>
    <x:fill>
      <x:patternFill patternType="solid">
        <x:fgColor rgb="FF111111"/>
      </x:patternFill>
    </x:fill>
    <x:fill>
      <x:patternFill patternType="solid">
        <x:fgColor rgb="FFFAF8F3"/>
      </x:patternFill>
    </x:fill>
    <x:fill>
      <x:patternFill patternType="solid">
        <x:fgColor rgb="FFE7E6E1"/>
      </x:patternFill>
    </x:fill>
    <x:fill>
      <x:patternFill patternType="solid">
        <x:fgColor rgb="FFD9EAF7"/>
      </x:patternFill>
    </x:fill>
  </x:fills>
  <x:borders count="6">
    <x:border/>
    <x:border>
      <x:left style="medium">
        <x:color rgb="FF2E3432"/>
      </x:left>
      <x:top style="medium">
        <x:color rgb="FF2E3432"/>
      </x:top>
      <x:bottom style="medium">
        <x:color rgb="FF2E3432"/>
      </x:bottom>
    </x:border>
    <x:border>
      <x:top style="medium">
        <x:color rgb="FF2E3432"/>
      </x:top>
      <x:bottom style="medium">
        <x:color rgb="FF2E3432"/>
      </x:bottom>
    </x:border>
    <x:border>
      <x:right style="medium">
        <x:color rgb="FF2E3432"/>
      </x:right>
      <x:top style="medium">
        <x:color rgb="FF2E3432"/>
      </x:top>
      <x:bottom style="medium">
        <x:color rgb="FF2E3432"/>
      </x:bottom>
    </x:border>
    <x:border>
      <x:bottom style="thin">
        <x:color rgb="FFC9C6BE"/>
      </x:bottom>
    </x:border>
    <x:border>
      <x:top style="thin">
        <x:color rgb="FFC9C6BE"/>
      </x:top>
      <x:bottom style="thin">
        <x:color rgb="FFC9C6BE"/>
      </x:bottom>
    </x:border>
  </x:borders>
  <x:cellStyleXfs count="1">
    <x:xf numFmtId="0" fontId="0" fillId="0" borderId="0"/>
  </x:cellStyleXfs>
  <x:cellXfs count="5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3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2" fillId="2" borderId="2" xfId="0" applyNumberFormat="1" applyFont="1" applyFill="1" applyBorder="1" applyAlignment="1">
      <x:alignment horizontal="center" vertical="top" wrapText="1"/>
    </x:xf>
    <x:xf numFmtId="0" fontId="2" fillId="2" borderId="3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1" fillId="3" borderId="5" xfId="0" applyNumberFormat="1" applyFont="1" applyFill="1" applyBorder="1" applyAlignment="1">
      <x:alignment vertical="top" wrapText="1"/>
    </x:xf>
    <x:xf numFmtId="0" fontId="1" fillId="4" borderId="5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4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4" borderId="0" xfId="0" applyNumberFormat="1" applyFont="1" applyFill="1" applyBorder="1" applyAlignment="1">
      <x:alignment vertical="top" wrapText="1"/>
    </x:xf>
    <x:xf numFmtId="0" fontId="1" fillId="3" borderId="5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4" borderId="5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4" borderId="5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1" fillId="3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  <x:xf numFmtId="202" fontId="1" fillId="3" borderId="0" xfId="0" applyNumberFormat="1" applyFont="1" applyFill="1" applyBorder="1" applyAlignment="1">
      <x:alignment vertical="top" wrapText="1"/>
    </x:xf>
    <x:xf numFmtId="202" fontId="1" fillId="0" borderId="0" xfId="0" applyNumberFormat="1" applyFont="1" applyFill="1" applyBorder="1" applyAlignment="1">
      <x:alignment vertical="top" wrapText="1"/>
    </x:xf>
    <x:xf numFmtId="201" fontId="1" fillId="4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1" fillId="3" borderId="5" xfId="0" applyNumberFormat="1" applyFont="1" applyFill="1" applyBorder="1" applyAlignment="1">
      <x:alignment vertical="top" wrapText="1"/>
    </x:xf>
    <x:xf numFmtId="202" fontId="1" fillId="3" borderId="5" xfId="0" applyNumberFormat="1" applyFont="1" applyFill="1" applyBorder="1" applyAlignment="1">
      <x:alignment vertical="top" wrapText="1"/>
    </x:xf>
    <x:xf numFmtId="201" fontId="1" fillId="4" borderId="5" xfId="0" applyNumberFormat="1" applyFont="1" applyFill="1" applyBorder="1" applyAlignment="1">
      <x:alignment vertical="top" wrapText="1"/>
    </x:xf>
    <x:xf numFmtId="0" fontId="1" fillId="5" borderId="5" xfId="0" applyNumberFormat="1" applyFont="1" applyFill="1" applyBorder="1" applyAlignment="1">
      <x:alignment vertical="top" wrapText="1"/>
    </x:xf>
    <x:xf numFmtId="0" fontId="1" fillId="5" borderId="5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1" fillId="0" borderId="5" xfId="0" applyNumberFormat="1" applyFont="1" applyFill="1" applyBorder="1" applyAlignment="1">
      <x:alignment vertical="top" wrapText="1"/>
    </x:xf>
    <x:xf numFmtId="202" fontId="1" fillId="0" borderId="5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vertical="top" wrapText="1"/>
    </x:xf>
    <x:xf numFmtId="200" fontId="1" fillId="3" borderId="5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38">
    <x:dxf>
      <x:font>
        <x:color rgb="FF1F5D3A"/>
      </x:font>
      <x:fill>
        <x:patternFill>
          <x:bgColor rgb="FFD9EAD3"/>
        </x:patternFill>
      </x:fill>
    </x:dxf>
    <x:dxf>
      <x:font>
        <x:color rgb="FF8A4B08"/>
      </x:font>
      <x:fill>
        <x:patternFill>
          <x:bgColor rgb="FFFCE5CD"/>
        </x:patternFill>
      </x:fill>
    </x:dxf>
    <x:dxf>
      <x:font>
        <x:color rgb="FF990000"/>
      </x:font>
      <x:fill>
        <x:patternFill>
          <x:bgColor rgb="FFF4CCCC"/>
        </x:patternFill>
      </x:fill>
    </x:dxf>
    <x:dxf>
      <x:font>
        <x:color rgb="FF1F5D3A"/>
      </x:font>
      <x:fill>
        <x:patternFill>
          <x:bgColor rgb="FFD9EAD3"/>
        </x:patternFill>
      </x:fill>
    </x:dxf>
    <x:dxf>
      <x:font>
        <x:color rgb="FF8A4B08"/>
      </x:font>
      <x:fill>
        <x:patternFill>
          <x:bgColor rgb="FFFCE5CD"/>
        </x:patternFill>
      </x:fill>
    </x:dxf>
    <x:dxf>
      <x:font>
        <x:color rgb="FF990000"/>
      </x:font>
      <x:fill>
        <x:patternFill>
          <x:bgColor rgb="FFF4CCCC"/>
        </x:patternFill>
      </x:fill>
    </x:dxf>
    <x:dxf>
      <x:font>
        <x:color rgb="FF1F5D3A"/>
      </x:font>
      <x:fill>
        <x:patternFill>
          <x:bgColor rgb="FFD9EAD3"/>
        </x:patternFill>
      </x:fill>
    </x:dxf>
    <x:dxf>
      <x:font>
        <x:color rgb="FF8A4B08"/>
      </x:font>
      <x:fill>
        <x:patternFill>
          <x:bgColor rgb="FFFCE5CD"/>
        </x:patternFill>
      </x:fill>
    </x:dxf>
    <x:dxf>
      <x:font>
        <x:color rgb="FF990000"/>
      </x:font>
      <x:fill>
        <x:patternFill>
          <x:bgColor rgb="FFF4CCCC"/>
        </x:patternFill>
      </x:fill>
    </x:dxf>
    <x:dxf>
      <x:font>
        <x:color rgb="FF1F5D3A"/>
      </x:font>
      <x:fill>
        <x:patternFill>
          <x:bgColor rgb="FFD9EAD3"/>
        </x:patternFill>
      </x:fill>
    </x:dxf>
    <x:dxf>
      <x:font>
        <x:color rgb="FF8A4B08"/>
      </x:font>
      <x:fill>
        <x:patternFill>
          <x:bgColor rgb="FFFCE5CD"/>
        </x:patternFill>
      </x:fill>
    </x:dxf>
    <x:dxf>
      <x:font>
        <x:color rgb="FF990000"/>
      </x:font>
      <x:fill>
        <x:patternFill>
          <x:bgColor rgb="FFF4CCCC"/>
        </x:patternFill>
      </x:fill>
    </x:dxf>
    <x:dxf>
      <x:font>
        <x:color rgb="FF1F5D3A"/>
      </x:font>
      <x:fill>
        <x:patternFill>
          <x:bgColor rgb="FFD9EAD3"/>
        </x:patternFill>
      </x:fill>
    </x:dxf>
    <x:dxf>
      <x:font>
        <x:color rgb="FF8A4B08"/>
      </x:font>
      <x:fill>
        <x:patternFill>
          <x:bgColor rgb="FFFCE5CD"/>
        </x:patternFill>
      </x:fill>
    </x:dxf>
    <x:dxf>
      <x:font>
        <x:color rgb="FF990000"/>
      </x:font>
      <x:fill>
        <x:patternFill>
          <x:bgColor rgb="FFF4CCCC"/>
        </x:patternFill>
      </x:fill>
    </x:dxf>
    <x:dxf>
      <x:font>
        <x:b/>
        <x:color rgb="FF990000"/>
      </x:font>
      <x:fill>
        <x:patternFill>
          <x:bgColor rgb="FFF4CCCC"/>
        </x:patternFill>
      </x:fill>
    </x:dxf>
    <x:dxf>
      <x:font>
        <x:b/>
        <x:color rgb="FF990000"/>
      </x:font>
      <x:fill>
        <x:patternFill>
          <x:bgColor rgb="FFF4CCCC"/>
        </x:patternFill>
      </x:fill>
    </x:dxf>
    <x:dxf>
      <x:font>
        <x:color rgb="FF1F5D3A"/>
      </x:font>
      <x:fill>
        <x:patternFill>
          <x:bgColor rgb="FFD9EAD3"/>
        </x:patternFill>
      </x:fill>
    </x:dxf>
    <x:dxf>
      <x:font>
        <x:color rgb="FF8A4B08"/>
      </x:font>
      <x:fill>
        <x:patternFill>
          <x:bgColor rgb="FFFCE5CD"/>
        </x:patternFill>
      </x:fill>
    </x:dxf>
    <x:dxf>
      <x:font>
        <x:color rgb="FF990000"/>
      </x:font>
      <x:fill>
        <x:patternFill>
          <x:bgColor rgb="FFF4CCCC"/>
        </x:patternFill>
      </x:fill>
    </x:dxf>
    <x:dxf>
      <x:font>
        <x:b/>
        <x:color rgb="FF990000"/>
      </x:font>
      <x:fill>
        <x:patternFill>
          <x:bgColor rgb="FFF4CCCC"/>
        </x:patternFill>
      </x:fill>
    </x:dxf>
    <x:dxf>
      <x:font>
        <x:b/>
        <x:color rgb="FF990000"/>
      </x:font>
      <x:fill>
        <x:patternFill>
          <x:bgColor rgb="FFF4CCCC"/>
        </x:patternFill>
      </x:fill>
    </x:dxf>
    <x:dxf>
      <x:font>
        <x:color rgb="FF1F5D3A"/>
      </x:font>
      <x:fill>
        <x:patternFill>
          <x:bgColor rgb="FFD9EAD3"/>
        </x:patternFill>
      </x:fill>
    </x:dxf>
    <x:dxf>
      <x:font>
        <x:color rgb="FF8A4B08"/>
      </x:font>
      <x:fill>
        <x:patternFill>
          <x:bgColor rgb="FFFCE5CD"/>
        </x:patternFill>
      </x:fill>
    </x:dxf>
    <x:dxf>
      <x:font>
        <x:color rgb="FF990000"/>
      </x:font>
      <x:fill>
        <x:patternFill>
          <x:bgColor rgb="FFF4CCCC"/>
        </x:patternFill>
      </x:fill>
    </x:dxf>
    <x:dxf>
      <x:font>
        <x:color rgb="FF1F5D3A"/>
      </x:font>
      <x:fill>
        <x:patternFill>
          <x:bgColor rgb="FFD9EAD3"/>
        </x:patternFill>
      </x:fill>
    </x:dxf>
    <x:dxf>
      <x:font>
        <x:color rgb="FF8A4B08"/>
      </x:font>
      <x:fill>
        <x:patternFill>
          <x:bgColor rgb="FFFCE5CD"/>
        </x:patternFill>
      </x:fill>
    </x:dxf>
    <x:dxf>
      <x:font>
        <x:color rgb="FF990000"/>
      </x:font>
      <x:fill>
        <x:patternFill>
          <x:bgColor rgb="FFF4CCCC"/>
        </x:patternFill>
      </x:fill>
    </x:dxf>
    <x:dxf>
      <x:font>
        <x:color rgb="FF1F5D3A"/>
      </x:font>
      <x:fill>
        <x:patternFill>
          <x:bgColor rgb="FFD9EAD3"/>
        </x:patternFill>
      </x:fill>
    </x:dxf>
    <x:dxf>
      <x:font>
        <x:color rgb="FF8A4B08"/>
      </x:font>
      <x:fill>
        <x:patternFill>
          <x:bgColor rgb="FFFCE5CD"/>
        </x:patternFill>
      </x:fill>
    </x:dxf>
    <x:dxf>
      <x:font>
        <x:color rgb="FF990000"/>
      </x:font>
      <x:fill>
        <x:patternFill>
          <x:bgColor rgb="FFF4CCCC"/>
        </x:patternFill>
      </x:fill>
    </x:dxf>
    <x:dxf>
      <x:font>
        <x:color rgb="FF1F5D3A"/>
      </x:font>
      <x:fill>
        <x:patternFill>
          <x:bgColor rgb="FFD9EAD3"/>
        </x:patternFill>
      </x:fill>
    </x:dxf>
    <x:dxf>
      <x:font>
        <x:color rgb="FF8A4B08"/>
      </x:font>
      <x:fill>
        <x:patternFill>
          <x:bgColor rgb="FFFCE5CD"/>
        </x:patternFill>
      </x:fill>
    </x:dxf>
    <x:dxf>
      <x:font>
        <x:color rgb="FF990000"/>
      </x:font>
      <x:fill>
        <x:patternFill>
          <x:bgColor rgb="FFF4CCCC"/>
        </x:patternFill>
      </x:fill>
    </x:dxf>
    <x:dxf>
      <x:font>
        <x:color rgb="FF1F5D3A"/>
      </x:font>
      <x:fill>
        <x:patternFill>
          <x:bgColor rgb="FFD9EAD3"/>
        </x:patternFill>
      </x:fill>
    </x:dxf>
    <x:dxf>
      <x:font>
        <x:color rgb="FF8A4B08"/>
      </x:font>
      <x:fill>
        <x:patternFill>
          <x:bgColor rgb="FFFCE5CD"/>
        </x:patternFill>
      </x:fill>
    </x:dxf>
    <x:dxf>
      <x:font>
        <x:color rgb="FF990000"/>
      </x:font>
      <x:fill>
        <x:patternFill>
          <x:bgColor rgb="FFF4CCCC"/>
        </x:patternFill>
      </x:fill>
    </x:dxf>
    <x:dxf>
      <x:font>
        <x:b/>
        <x:color rgb="FF990000"/>
      </x:font>
      <x:fill>
        <x:patternFill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bf6e3a009747ca" /><Relationship Type="http://schemas.openxmlformats.org/officeDocument/2006/relationships/theme" Target="/xl/theme/theme1.xml" Id="R5a4264c67c294187" /><Relationship Type="http://schemas.microsoft.com/office/2022/11/relationships/FeaturePropertyBag" Target="/xl/featurePropertyBag/featurePropertyBag.xml" Id="R34c60e09fe6840b4" /><Relationship Type="http://schemas.openxmlformats.org/officeDocument/2006/relationships/sharedStrings" Target="/xl/sharedStrings.xml" Id="Rced435a2ab1041a0" /><Relationship Type="http://schemas.openxmlformats.org/officeDocument/2006/relationships/worksheet" Target="/xl/worksheets/sheet1.xml" Id="R2919bdd5022245a6" /><Relationship Type="http://schemas.openxmlformats.org/officeDocument/2006/relationships/worksheet" Target="/xl/worksheets/sheet2.xml" Id="Rbcfdf1642d7a4f9c" /><Relationship Type="http://schemas.openxmlformats.org/officeDocument/2006/relationships/worksheet" Target="/xl/worksheets/sheet3.xml" Id="Ra99cad9317714219" /><Relationship Type="http://schemas.openxmlformats.org/officeDocument/2006/relationships/worksheet" Target="/xl/worksheets/sheet4.xml" Id="R4ff73ae127f04c11" /><Relationship Type="http://schemas.openxmlformats.org/officeDocument/2006/relationships/worksheet" Target="/xl/worksheets/sheet5.xml" Id="R209d220f51484655" /><Relationship Type="http://schemas.openxmlformats.org/officeDocument/2006/relationships/worksheet" Target="/xl/worksheets/sheet6.xml" Id="R928848faa4824481" /><Relationship Type="http://schemas.openxmlformats.org/officeDocument/2006/relationships/worksheet" Target="/xl/worksheets/sheet7.xml" Id="Re90bd1c8124d4d6d" /><Relationship Type="http://schemas.openxmlformats.org/officeDocument/2006/relationships/worksheet" Target="/xl/worksheets/sheet8.xml" Id="R84165d5702e74597" /><Relationship Type="http://schemas.openxmlformats.org/officeDocument/2006/relationships/worksheet" Target="/xl/worksheets/sheet9.xml" Id="Rcc429d1782594e53" /><Relationship Type="http://schemas.openxmlformats.org/officeDocument/2006/relationships/worksheet" Target="/xl/worksheets/sheet10.xml" Id="R66fe3afca5ec4bc2" /><Relationship Type="http://schemas.openxmlformats.org/officeDocument/2006/relationships/worksheet" Target="/xl/worksheets/sheet11.xml" Id="R1654cc9c2aa74168" /><Relationship Type="http://schemas.openxmlformats.org/officeDocument/2006/relationships/worksheet" Target="/xl/worksheets/sheet12.xml" Id="Rea749b9e6ff64153" /><Relationship Type="http://schemas.openxmlformats.org/officeDocument/2006/relationships/worksheet" Target="/xl/worksheets/sheet13.xml" Id="Rd47d40cc03be40df" /><Relationship Type="http://schemas.openxmlformats.org/officeDocument/2006/relationships/worksheet" Target="/xl/worksheets/sheet14.xml" Id="R893064393f1d4d10" /><Relationship Type="http://schemas.openxmlformats.org/officeDocument/2006/relationships/worksheet" Target="/xl/worksheets/sheet15.xml" Id="Rd45346a9aeff419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bl_00_README" displayName="tbl_00_README" ref="A1:D27" headerRowCount="1" totalsRowCount="0" totalsRowShown="0">
  <x:tableColumns count="4">
    <x:tableColumn id="1" name="section"/>
    <x:tableColumn id="2" name="field"/>
    <x:tableColumn id="3" name="value"/>
    <x:tableColumn id="4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l_01_TIRE_MODELS" displayName="tbl_01_TIRE_MODELS" ref="A1:AQ25" headerRowCount="1" totalsRowCount="0" totalsRowShown="0">
  <x:tableColumns count="43">
    <x:tableColumn id="1" name="model_id"/>
    <x:tableColumn id="2" name="public_brand"/>
    <x:tableColumn id="3" name="source_brand"/>
    <x:tableColumn id="4" name="catalog_family"/>
    <x:tableColumn id="5" name="model_code"/>
    <x:tableColumn id="6" name="public_name_ru"/>
    <x:tableColumn id="7" name="public_name_en"/>
    <x:tableColumn id="8" name="slug"/>
    <x:tableColumn id="9" name="model_status"/>
    <x:tableColumn id="10" name="publication_status"/>
    <x:tableColumn id="11" name="tire_type_key"/>
    <x:tableColumn id="12" name="axle_steer"/>
    <x:tableColumn id="13" name="axle_drive"/>
    <x:tableColumn id="14" name="axle_trailer"/>
    <x:tableColumn id="15" name="application_long_haul"/>
    <x:tableColumn id="16" name="application_regional"/>
    <x:tableColumn id="17" name="application_urban"/>
    <x:tableColumn id="18" name="application_off_road"/>
    <x:tableColumn id="19" name="application_winter"/>
    <x:tableColumn id="20" name="application_snow_mud"/>
    <x:tableColumn id="21" name="source_position_label"/>
    <x:tableColumn id="22" name="application_keys"/>
    <x:tableColumn id="23" name="feature_keys"/>
    <x:tableColumn id="24" name="short_description_ru"/>
    <x:tableColumn id="25" name="full_description_ru"/>
    <x:tableColumn id="26" name="short_description_en_source"/>
    <x:tableColumn id="27" name="feature_summary_ru"/>
    <x:tableColumn id="28" name="tread_pattern_type"/>
    <x:tableColumn id="29" name="intended_vehicle_types"/>
    <x:tableColumn id="30" name="usage_notes"/>
    <x:tableColumn id="31" name="main_image_path"/>
    <x:tableColumn id="32" name="tread_image_path"/>
    <x:tableColumn id="33" name="gallery_paths"/>
    <x:tableColumn id="34" name="position_diagram_path"/>
    <x:tableColumn id="35" name="source_page_preview"/>
    <x:tableColumn id="36" name="source_document"/>
    <x:tableColumn id="37" name="source_page"/>
    <x:tableColumn id="38" name="source_model_code"/>
    <x:tableColumn id="39" name="source_verified"/>
    <x:tableColumn id="40" name="verification_status"/>
    <x:tableColumn id="41" name="verification_notes"/>
    <x:tableColumn id="42" name="created_at"/>
    <x:tableColumn id="43" name="updated_a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bl_02_TIRE_VARIANTS" displayName="tbl_02_TIRE_VARIANTS" ref="A1:BQ49" headerRowCount="1" totalsRowCount="0" totalsRowShown="0">
  <x:tableColumns count="69">
    <x:tableColumn id="1" name="variant_id"/>
    <x:tableColumn id="2" name="model_id"/>
    <x:tableColumn id="3" name="public_brand"/>
    <x:tableColumn id="4" name="model_code"/>
    <x:tableColumn id="5" name="sku"/>
    <x:tableColumn id="6" name="supplier_sku"/>
    <x:tableColumn id="7" name="variant_status"/>
    <x:tableColumn id="8" name="publication_status"/>
    <x:tableColumn id="9" name="size_raw"/>
    <x:tableColumn id="10" name="size_normalized"/>
    <x:tableColumn id="11" name="size_format"/>
    <x:tableColumn id="12" name="nominal_width_mm"/>
    <x:tableColumn id="13" name="imperial_width_in"/>
    <x:tableColumn id="14" name="aspect_ratio_pct"/>
    <x:tableColumn id="15" name="construction_code"/>
    <x:tableColumn id="16" name="rim_diameter_in"/>
    <x:tableColumn id="17" name="ply_rating_pr"/>
    <x:tableColumn id="18" name="tread_depth_mm"/>
    <x:tableColumn id="19" name="tread_depth_32nd_in_source"/>
    <x:tableColumn id="20" name="standard_rim_in"/>
    <x:tableColumn id="21" name="pressure_single_source"/>
    <x:tableColumn id="22" name="pressure_dual_source"/>
    <x:tableColumn id="23" name="pressure_source_unit_label"/>
    <x:tableColumn id="24" name="pressure_single_kpa"/>
    <x:tableColumn id="25" name="pressure_dual_kpa"/>
    <x:tableColumn id="26" name="pressure_single_bar"/>
    <x:tableColumn id="27" name="pressure_dual_bar"/>
    <x:tableColumn id="28" name="pressure_single_psi"/>
    <x:tableColumn id="29" name="pressure_dual_psi"/>
    <x:tableColumn id="30" name="pressure_unit_verification_status"/>
    <x:tableColumn id="31" name="max_load_single_source"/>
    <x:tableColumn id="32" name="max_load_dual_source"/>
    <x:tableColumn id="33" name="max_load_source_unit_label"/>
    <x:tableColumn id="34" name="max_load_single_kg"/>
    <x:tableColumn id="35" name="max_load_dual_kg"/>
    <x:tableColumn id="36" name="max_load_single_lb"/>
    <x:tableColumn id="37" name="max_load_dual_lb"/>
    <x:tableColumn id="38" name="max_load_unit_verification_status"/>
    <x:tableColumn id="39" name="load_index_single"/>
    <x:tableColumn id="40" name="load_index_dual"/>
    <x:tableColumn id="41" name="load_index_source_raw"/>
    <x:tableColumn id="42" name="alternative_load_index"/>
    <x:tableColumn id="43" name="speed_symbol"/>
    <x:tableColumn id="44" name="alternative_speed_symbol"/>
    <x:tableColumn id="45" name="rating_source_raw"/>
    <x:tableColumn id="46" name="rating_verification_status"/>
    <x:tableColumn id="47" name="overall_diameter_mm"/>
    <x:tableColumn id="48" name="overall_diameter_in_source"/>
    <x:tableColumn id="49" name="overall_diameter_in_calculated"/>
    <x:tableColumn id="50" name="section_width_mm"/>
    <x:tableColumn id="51" name="section_width_in_source"/>
    <x:tableColumn id="52" name="section_width_in_calculated"/>
    <x:tableColumn id="53" name="axle_steer"/>
    <x:tableColumn id="54" name="axle_drive"/>
    <x:tableColumn id="55" name="axle_trailer"/>
    <x:tableColumn id="56" name="application_keys"/>
    <x:tableColumn id="57" name="feature_keys"/>
    <x:tableColumn id="58" name="derived_from_model"/>
    <x:tableColumn id="59" name="source_document"/>
    <x:tableColumn id="60" name="source_page"/>
    <x:tableColumn id="61" name="source_row_number"/>
    <x:tableColumn id="62" name="source_table_label"/>
    <x:tableColumn id="63" name="source_data_raw"/>
    <x:tableColumn id="64" name="verification_status"/>
    <x:tableColumn id="65" name="validation_warnings"/>
    <x:tableColumn id="66" name="duplicate_check"/>
    <x:tableColumn id="67" name="publish_blocked"/>
    <x:tableColumn id="68" name="created_at"/>
    <x:tableColumn id="69" name="updated_a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bl_03_MODEL_FEATURES" displayName="tbl_03_MODEL_FEATURES" ref="A1:O71" headerRowCount="1" totalsRowCount="0" totalsRowShown="0">
  <x:tableColumns count="15">
    <x:tableColumn id="1" name="feature_record_id"/>
    <x:tableColumn id="2" name="model_id"/>
    <x:tableColumn id="3" name="model_code"/>
    <x:tableColumn id="4" name="feature_order"/>
    <x:tableColumn id="5" name="feature_key"/>
    <x:tableColumn id="6" name="feature_title_ru"/>
    <x:tableColumn id="7" name="feature_description_ru"/>
    <x:tableColumn id="8" name="feature_title_en_source"/>
    <x:tableColumn id="9" name="feature_description_en_source"/>
    <x:tableColumn id="10" name="feature_type"/>
    <x:tableColumn id="11" name="filterable"/>
    <x:tableColumn id="12" name="technical_claim_status"/>
    <x:tableColumn id="13" name="source_page"/>
    <x:tableColumn id="14" name="source_verified"/>
    <x:tableColumn id="15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bl_04_ATTRIBUTE_REGISTRY" displayName="tbl_04_ATTRIBUTE_REGISTRY" ref="A1:AM34" headerRowCount="1" totalsRowCount="0" totalsRowShown="0">
  <x:tableColumns count="39">
    <x:tableColumn id="1" name="attribute_key"/>
    <x:tableColumn id="2" name="label_ru"/>
    <x:tableColumn id="3" name="label_en"/>
    <x:tableColumn id="4" name="description_ru"/>
    <x:tableColumn id="5" name="entity_scope"/>
    <x:tableColumn id="6" name="category_scope"/>
    <x:tableColumn id="7" name="payload_collection"/>
    <x:tableColumn id="8" name="payload_field_path"/>
    <x:tableColumn id="9" name="db_column"/>
    <x:tableColumn id="10" name="data_type"/>
    <x:tableColumn id="11" name="excel_data_type"/>
    <x:tableColumn id="12" name="required"/>
    <x:tableColumn id="13" name="nullable"/>
    <x:tableColumn id="14" name="canonical_unit"/>
    <x:tableColumn id="15" name="source_unit"/>
    <x:tableColumn id="16" name="enum_dictionary"/>
    <x:tableColumn id="17" name="filterable"/>
    <x:tableColumn id="18" name="filter_type"/>
    <x:tableColumn id="19" name="searchable"/>
    <x:tableColumn id="20" name="sortable"/>
    <x:tableColumn id="21" name="comparable"/>
    <x:tableColumn id="22" name="visible_in_listing"/>
    <x:tableColumn id="23" name="visible_in_product_card"/>
    <x:tableColumn id="24" name="visible_in_comparison"/>
    <x:tableColumn id="25" name="visible_in_cms"/>
    <x:tableColumn id="26" name="editable_in_cms"/>
    <x:tableColumn id="27" name="importable"/>
    <x:tableColumn id="28" name="exportable"/>
    <x:tableColumn id="29" name="participates_in_sku"/>
    <x:tableColumn id="30" name="participates_in_url"/>
    <x:tableColumn id="31" name="query_parameter"/>
    <x:tableColumn id="32" name="seo_indexable"/>
    <x:tableColumn id="33" name="validation_rule"/>
    <x:tableColumn id="34" name="min_value"/>
    <x:tableColumn id="35" name="max_value"/>
    <x:tableColumn id="36" name="display_group"/>
    <x:tableColumn id="37" name="display_order"/>
    <x:tableColumn id="38" name="null_behavior"/>
    <x:tableColumn id="39" name="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bl_05_FILTER_REGISTRY" displayName="tbl_05_FILTER_REGISTRY" ref="A1:AC17" headerRowCount="1" totalsRowCount="0" totalsRowShown="0">
  <x:tableColumns count="29">
    <x:tableColumn id="1" name="filter_key"/>
    <x:tableColumn id="2" name="label_ru"/>
    <x:tableColumn id="3" name="short_label_ru"/>
    <x:tableColumn id="4" name="description_ru"/>
    <x:tableColumn id="5" name="entity_scope"/>
    <x:tableColumn id="6" name="source_attribute_key"/>
    <x:tableColumn id="7" name="filter_type"/>
    <x:tableColumn id="8" name="query_parameter"/>
    <x:tableColumn id="9" name="url_value_type"/>
    <x:tableColumn id="10" name="multi_value"/>
    <x:tableColumn id="11" name="unit"/>
    <x:tableColumn id="12" name="display_group"/>
    <x:tableColumn id="13" name="display_order"/>
    <x:tableColumn id="14" name="open_by_default_desktop"/>
    <x:tableColumn id="15" name="open_by_default_mobile"/>
    <x:tableColumn id="16" name="show_count"/>
    <x:tableColumn id="17" name="show_zero_values"/>
    <x:tableColumn id="18" name="zero_value_behavior"/>
    <x:tableColumn id="19" name="searchable_inside_filter"/>
    <x:tableColumn id="20" name="min_value"/>
    <x:tableColumn id="21" name="max_value"/>
    <x:tableColumn id="22" name="step"/>
    <x:tableColumn id="23" name="sort_mode"/>
    <x:tableColumn id="24" name="seo_policy"/>
    <x:tableColumn id="25" name="analytics_event_key"/>
    <x:tableColumn id="26" name="payload_query_strategy"/>
    <x:tableColumn id="27" name="db_index_recommended"/>
    <x:tableColumn id="28" name="enabled"/>
    <x:tableColumn id="29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bl_06_FILTER_VALUES" displayName="tbl_06_FILTER_VALUES" ref="A1:M178" headerRowCount="1" totalsRowCount="0" totalsRowShown="0">
  <x:tableColumns count="13">
    <x:tableColumn id="1" name="filter_key"/>
    <x:tableColumn id="2" name="value_key"/>
    <x:tableColumn id="3" name="value_raw"/>
    <x:tableColumn id="4" name="value_normalized"/>
    <x:tableColumn id="5" name="label_ru"/>
    <x:tableColumn id="6" name="unit"/>
    <x:tableColumn id="7" name="sort_numeric"/>
    <x:tableColumn id="8" name="sort_text"/>
    <x:tableColumn id="9" name="product_count"/>
    <x:tableColumn id="10" name="model_count"/>
    <x:tableColumn id="11" name="enabled"/>
    <x:tableColumn id="12" name="source_verified"/>
    <x:tableColumn id="13" name="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bl_07_DICTIONARIES" displayName="tbl_07_DICTIONARIES" ref="A1:J45" headerRowCount="1" totalsRowCount="0" totalsRowShown="0">
  <x:tableColumns count="10">
    <x:tableColumn id="1" name="dictionary_name"/>
    <x:tableColumn id="2" name="value_key"/>
    <x:tableColumn id="3" name="label_ru"/>
    <x:tableColumn id="4" name="label_en"/>
    <x:tableColumn id="5" name="description_ru"/>
    <x:tableColumn id="6" name="sort_order"/>
    <x:tableColumn id="7" name="enabled"/>
    <x:tableColumn id="8" name="payload_collection_or_enum"/>
    <x:tableColumn id="9" name="source_label"/>
    <x:tableColumn id="10" name="no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bl_08_PAYLOAD_MAPPING" displayName="tbl_08_PAYLOAD_MAPPING" ref="A1:R34" headerRowCount="1" totalsRowCount="0" totalsRowShown="0">
  <x:tableColumns count="18">
    <x:tableColumn id="1" name="excel_sheet"/>
    <x:tableColumn id="2" name="excel_column"/>
    <x:tableColumn id="3" name="entity"/>
    <x:tableColumn id="4" name="payload_collection"/>
    <x:tableColumn id="5" name="payload_field"/>
    <x:tableColumn id="6" name="payload_field_type"/>
    <x:tableColumn id="7" name="required"/>
    <x:tableColumn id="8" name="has_many"/>
    <x:tableColumn id="9" name="relation_to"/>
    <x:tableColumn id="10" name="localized"/>
    <x:tableColumn id="11" name="admin_group"/>
    <x:tableColumn id="12" name="admin_position"/>
    <x:tableColumn id="13" name="validation"/>
    <x:tableColumn id="14" name="hook"/>
    <x:tableColumn id="15" name="access_rule"/>
    <x:tableColumn id="16" name="import_behavior"/>
    <x:tableColumn id="17" name="export_behavior"/>
    <x:tableColumn id="18" name="no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bl_09_DB_SCHEMA" displayName="tbl_09_DB_SCHEMA" ref="A1:O49" headerRowCount="1" totalsRowCount="0" totalsRowShown="0">
  <x:tableColumns count="15">
    <x:tableColumn id="1" name="table_name"/>
    <x:tableColumn id="2" name="column_name"/>
    <x:tableColumn id="3" name="sql_type_recommended"/>
    <x:tableColumn id="4" name="nullable"/>
    <x:tableColumn id="5" name="unique"/>
    <x:tableColumn id="6" name="default_value"/>
    <x:tableColumn id="7" name="foreign_key"/>
    <x:tableColumn id="8" name="referenced_table"/>
    <x:tableColumn id="9" name="indexed"/>
    <x:tableColumn id="10" name="composite_index_group"/>
    <x:tableColumn id="11" name="source_excel_sheet"/>
    <x:tableColumn id="12" name="source_excel_column"/>
    <x:tableColumn id="13" name="description"/>
    <x:tableColumn id="14" name="migration_priority"/>
    <x:tableColumn id="15" name="no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bl_10_SOURCE_MAPPING" displayName="tbl_10_SOURCE_MAPPING" ref="A1:J21" headerRowCount="1" totalsRowCount="0" totalsRowShown="0">
  <x:tableColumns count="10">
    <x:tableColumn id="1" name="source_document"/>
    <x:tableColumn id="2" name="source_page"/>
    <x:tableColumn id="3" name="source_section"/>
    <x:tableColumn id="4" name="source_label"/>
    <x:tableColumn id="5" name="normalized_entity"/>
    <x:tableColumn id="6" name="normalized_attribute"/>
    <x:tableColumn id="7" name="transformation_rule"/>
    <x:tableColumn id="8" name="confidence"/>
    <x:tableColumn id="9" name="requires_review"/>
    <x:tableColumn id="10" name="note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bl_11_QA_ISSUES" displayName="tbl_11_QA_ISSUES" ref="A1:P8" headerRowCount="1" totalsRowCount="0" totalsRowShown="0">
  <x:tableColumns count="16">
    <x:tableColumn id="1" name="issue_id"/>
    <x:tableColumn id="2" name="severity"/>
    <x:tableColumn id="3" name="entity_type"/>
    <x:tableColumn id="4" name="model_code"/>
    <x:tableColumn id="5" name="variant_id"/>
    <x:tableColumn id="6" name="source_page"/>
    <x:tableColumn id="7" name="source_field"/>
    <x:tableColumn id="8" name="source_value"/>
    <x:tableColumn id="9" name="normalized_value"/>
    <x:tableColumn id="10" name="issue_type"/>
    <x:tableColumn id="11" name="description"/>
    <x:tableColumn id="12" name="recommended_action"/>
    <x:tableColumn id="13" name="blocks_publication"/>
    <x:tableColumn id="14" name="verification_status"/>
    <x:tableColumn id="15" name="resolved"/>
    <x:tableColumn id="16" name="resolution_note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tbl_12_VALIDATION_RULES" displayName="tbl_12_VALIDATION_RULES" ref="A1:L17" headerRowCount="1" totalsRowCount="0" totalsRowShown="0">
  <x:tableColumns count="12">
    <x:tableColumn id="1" name="rule_id"/>
    <x:tableColumn id="2" name="entity"/>
    <x:tableColumn id="3" name="field"/>
    <x:tableColumn id="4" name="rule_type"/>
    <x:tableColumn id="5" name="rule_expression"/>
    <x:tableColumn id="6" name="error_message_ru"/>
    <x:tableColumn id="7" name="severity"/>
    <x:tableColumn id="8" name="blocks_import"/>
    <x:tableColumn id="9" name="blocks_publication"/>
    <x:tableColumn id="10" name="auto_fix_allowed"/>
    <x:tableColumn id="11" name="auto_fix_rule"/>
    <x:tableColumn id="12" name="note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tbl_13_CMS_IMPORT" displayName="tbl_13_CMS_IMPORT" ref="A1:BO49" headerRowCount="1" totalsRowCount="0" totalsRowShown="0">
  <x:tableColumns count="67">
    <x:tableColumn id="1" name="variant_id"/>
    <x:tableColumn id="2" name="model_id"/>
    <x:tableColumn id="3" name="public_brand"/>
    <x:tableColumn id="4" name="source_brand"/>
    <x:tableColumn id="5" name="catalog_family"/>
    <x:tableColumn id="6" name="model_code"/>
    <x:tableColumn id="7" name="model_slug"/>
    <x:tableColumn id="8" name="public_name_ru"/>
    <x:tableColumn id="9" name="publication_status"/>
    <x:tableColumn id="10" name="model_verification_status"/>
    <x:tableColumn id="11" name="size_raw"/>
    <x:tableColumn id="12" name="size_normalized"/>
    <x:tableColumn id="13" name="size_format"/>
    <x:tableColumn id="14" name="nominal_width_mm"/>
    <x:tableColumn id="15" name="imperial_width_in"/>
    <x:tableColumn id="16" name="aspect_ratio_pct"/>
    <x:tableColumn id="17" name="construction_code"/>
    <x:tableColumn id="18" name="rim_diameter_in"/>
    <x:tableColumn id="19" name="ply_rating_pr"/>
    <x:tableColumn id="20" name="tread_depth_mm"/>
    <x:tableColumn id="21" name="tread_depth_32nd_in_source"/>
    <x:tableColumn id="22" name="standard_rim_in"/>
    <x:tableColumn id="23" name="pressure_single_source"/>
    <x:tableColumn id="24" name="pressure_dual_source"/>
    <x:tableColumn id="25" name="pressure_source_unit_label"/>
    <x:tableColumn id="26" name="pressure_single_kpa_working"/>
    <x:tableColumn id="27" name="pressure_dual_kpa_working"/>
    <x:tableColumn id="28" name="pressure_single_bar_working"/>
    <x:tableColumn id="29" name="pressure_dual_bar_working"/>
    <x:tableColumn id="30" name="pressure_single_psi_working"/>
    <x:tableColumn id="31" name="pressure_dual_psi_working"/>
    <x:tableColumn id="32" name="pressure_unit_verification_status"/>
    <x:tableColumn id="33" name="max_load_single_source"/>
    <x:tableColumn id="34" name="max_load_dual_source"/>
    <x:tableColumn id="35" name="max_load_source_unit_label"/>
    <x:tableColumn id="36" name="max_load_single_kg_working"/>
    <x:tableColumn id="37" name="max_load_dual_kg_working"/>
    <x:tableColumn id="38" name="max_load_single_lb_working"/>
    <x:tableColumn id="39" name="max_load_dual_lb_working"/>
    <x:tableColumn id="40" name="max_load_unit_verification_status"/>
    <x:tableColumn id="41" name="load_index_single"/>
    <x:tableColumn id="42" name="load_index_dual"/>
    <x:tableColumn id="43" name="load_index_source_raw"/>
    <x:tableColumn id="44" name="alternative_load_index"/>
    <x:tableColumn id="45" name="speed_symbol"/>
    <x:tableColumn id="46" name="alternative_speed_symbol"/>
    <x:tableColumn id="47" name="rating_source_raw"/>
    <x:tableColumn id="48" name="rating_verification_status"/>
    <x:tableColumn id="49" name="overall_diameter_mm"/>
    <x:tableColumn id="50" name="overall_diameter_in_source"/>
    <x:tableColumn id="51" name="overall_diameter_in_calculated"/>
    <x:tableColumn id="52" name="section_width_mm"/>
    <x:tableColumn id="53" name="section_width_in_source"/>
    <x:tableColumn id="54" name="section_width_in_calculated"/>
    <x:tableColumn id="55" name="axle_keys_json"/>
    <x:tableColumn id="56" name="application_keys_json"/>
    <x:tableColumn id="57" name="feature_keys_json"/>
    <x:tableColumn id="58" name="tire_type_relation_key"/>
    <x:tableColumn id="59" name="model_relation_key"/>
    <x:tableColumn id="60" name="source_document"/>
    <x:tableColumn id="61" name="source_page"/>
    <x:tableColumn id="62" name="source_row_number"/>
    <x:tableColumn id="63" name="verification_status"/>
    <x:tableColumn id="64" name="validation_warnings_json"/>
    <x:tableColumn id="65" name="publish_blocked"/>
    <x:tableColumn id="66" name="short_description_ru"/>
    <x:tableColumn id="67" name="full_description_ru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tbl_14_CHANGELOG" displayName="tbl_14_CHANGELOG" ref="A1:L6" headerRowCount="1" totalsRowCount="0" totalsRowShown="0">
  <x:tableColumns count="12">
    <x:tableColumn id="1" name="change_id"/>
    <x:tableColumn id="2" name="changed_at"/>
    <x:tableColumn id="3" name="changed_by"/>
    <x:tableColumn id="4" name="entity_type"/>
    <x:tableColumn id="5" name="entity_id"/>
    <x:tableColumn id="6" name="field"/>
    <x:tableColumn id="7" name="old_value"/>
    <x:tableColumn id="8" name="new_value"/>
    <x:tableColumn id="9" name="reason"/>
    <x:tableColumn id="10" name="source"/>
    <x:tableColumn id="11" name="approved_by"/>
    <x:tableColumn id="12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540787b83d74a7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2ca2b7debda430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2d45c88d3a64a4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ff77b79bcc2436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5f506ffc6bc3487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73d8ffe2a1b4423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ba3fb74d1ac640c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659968e18627478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86da3a6fd602467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640a09b67c79411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bc887c5922c4474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3e712a19453e442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2cb84cd8779a44de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b19254efa8594bcb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508db176d67c4e0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28" hidden="0" customWidth="1"/>
    <x:col min="4" max="4" width="28" hidden="0" customWidth="1"/>
  </x:cols>
  <x:sheetData>
    <x:row r="1" ht="34" customHeight="1">
      <x:c r="A1" s="17" t="str">
        <x:v>section</x:v>
      </x:c>
      <x:c r="B1" s="17" t="str">
        <x:v>field</x:v>
      </x:c>
      <x:c r="C1" s="17" t="str">
        <x:v>value</x:v>
      </x:c>
      <x:c r="D1" s="17" t="str">
        <x:v>notes</x:v>
      </x:c>
    </x:row>
    <x:row r="2">
      <x:c r="A2" s="18" t="str">
        <x:v>Общая информация</x:v>
      </x:c>
      <x:c r="B2" s="18" t="str">
        <x:v>Название проекта</x:v>
      </x:c>
      <x:c r="C2" s="18" t="str">
        <x:v>BIZON</x:v>
      </x:c>
      <x:c r="D2" s="19"/>
    </x:row>
    <x:row r="3">
      <x:c r="A3" s="20" t="str">
        <x:v>Общая информация</x:v>
      </x:c>
      <x:c r="B3" s="20" t="str">
        <x:v>Тип каталога</x:v>
      </x:c>
      <x:c r="C3" s="20" t="str">
        <x:v>TBR / грузовые и автобусные шины</x:v>
      </x:c>
      <x:c r="D3" s="19"/>
    </x:row>
    <x:row r="4">
      <x:c r="A4" s="18" t="str">
        <x:v>Общая информация</x:v>
      </x:c>
      <x:c r="B4" s="18" t="str">
        <x:v>Public brand</x:v>
      </x:c>
      <x:c r="C4" s="18" t="str">
        <x:v>BIZON</x:v>
      </x:c>
      <x:c r="D4" s="19"/>
    </x:row>
    <x:row r="5">
      <x:c r="A5" s="20" t="str">
        <x:v>Общая информация</x:v>
      </x:c>
      <x:c r="B5" s="20" t="str">
        <x:v>Source brand</x:v>
      </x:c>
      <x:c r="C5" s="20" t="str">
        <x:v>DOUBLESTAR</x:v>
      </x:c>
      <x:c r="D5" s="19" t="str">
        <x:v>Хранить только в служебных полях.</x:v>
      </x:c>
    </x:row>
    <x:row r="6">
      <x:c r="A6" s="18" t="str">
        <x:v>Общая информация</x:v>
      </x:c>
      <x:c r="B6" s="18" t="str">
        <x:v>Source document</x:v>
      </x:c>
      <x:c r="C6" s="18" t="str">
        <x:v>DOUBLESTAR COMBODIA TBR CATALOGUE.pdf</x:v>
      </x:c>
      <x:c r="D6" s="19" t="str">
        <x:v>Товарные таблицы: физические страницы PDF 4-9.</x:v>
      </x:c>
    </x:row>
    <x:row r="7">
      <x:c r="A7" s="20" t="str">
        <x:v>Общая информация</x:v>
      </x:c>
      <x:c r="B7" s="20" t="str">
        <x:v>Версия файла</x:v>
      </x:c>
      <x:c r="C7" s="20" t="str">
        <x:v>1.0.0</x:v>
      </x:c>
      <x:c r="D7" s="19"/>
    </x:row>
    <x:row r="8">
      <x:c r="A8" s="18" t="str">
        <x:v>Общая информация</x:v>
      </x:c>
      <x:c r="B8" s="18" t="str">
        <x:v>Дата создания</x:v>
      </x:c>
      <x:c r="C8" s="18" t="str">
        <x:v>2026-07-26</x:v>
      </x:c>
      <x:c r="D8" s="19"/>
    </x:row>
    <x:row r="9">
      <x:c r="A9" s="20" t="str">
        <x:v>Общая информация</x:v>
      </x:c>
      <x:c r="B9" s="20" t="str">
        <x:v>Ответственный</x:v>
      </x:c>
      <x:c r="C9" s="20" t="str">
        <x:v>Codex / требует утверждения владельцем BIZON</x:v>
      </x:c>
      <x:c r="D9" s="19"/>
    </x:row>
    <x:row r="10">
      <x:c r="A10" s="18" t="str">
        <x:v>Общая информация</x:v>
      </x:c>
      <x:c r="B10" s="18" t="str">
        <x:v>Статус</x:v>
      </x:c>
      <x:c r="C10" s="18" t="str">
        <x:v>review</x:v>
      </x:c>
      <x:c r="D10" s="19" t="str">
        <x:v>Единицы Pressure=kPa и Max. Load=kg утверждены владельцем проекта 2026-07-26. Четыре варианта остаются заблокированными: индекс 183 и обозначения 160(158)/K(L).</x:v>
      </x:c>
    </x:row>
    <x:row r="11">
      <x:c r="A11" s="20" t="str">
        <x:v>Статистика</x:v>
      </x:c>
      <x:c r="B11" s="20" t="str">
        <x:v>Модели</x:v>
      </x:c>
      <x:c r="C11" s="20" t="n">
        <x:v>24</x:v>
      </x:c>
      <x:c r="D11" s="19" t="str">
        <x:v>Визуально сверено по PDF.</x:v>
      </x:c>
    </x:row>
    <x:row r="12">
      <x:c r="A12" s="18" t="str">
        <x:v>Статистика</x:v>
      </x:c>
      <x:c r="B12" s="18" t="str">
        <x:v>Варианты</x:v>
      </x:c>
      <x:c r="C12" s="18" t="n">
        <x:v>48</x:v>
      </x:c>
      <x:c r="D12" s="19" t="str">
        <x:v>48 строк: 44 verified/unblocked, 4 needs_review/blocked.</x:v>
      </x:c>
    </x:row>
    <x:row r="13">
      <x:c r="A13" s="20" t="str">
        <x:v>Архитектура</x:v>
      </x:c>
      <x:c r="B13" s="20" t="str">
        <x:v>Связи</x:v>
      </x:c>
      <x:c r="C13" s="20" t="str">
        <x:v>TIRE_MODELS -&gt; TIRE_VARIANTS -&gt; MODEL_FEATURES -&gt; DICTIONARIES -&gt; ATTRIBUTE_REGISTRY -&gt; FILTER_REGISTRY -&gt; PAYLOAD_MAPPING</x:v>
      </x:c>
      <x:c r="D13" s="19" t="str">
        <x:v>Стабильные идентификаторы связывают сущности.</x:v>
      </x:c>
    </x:row>
    <x:row r="14">
      <x:c r="A14" s="18" t="str">
        <x:v>Правила</x:v>
      </x:c>
      <x:c r="B14" s="18" t="str">
        <x:v>Системные ключи</x:v>
      </x:c>
      <x:c r="C14" s="18" t="str">
        <x:v>Не переводить</x:v>
      </x:c>
      <x:c r="D14" s="19"/>
    </x:row>
    <x:row r="15">
      <x:c r="A15" s="20" t="str">
        <x:v>Правила</x:v>
      </x:c>
      <x:c r="B15" s="20" t="str">
        <x:v>model_id</x:v>
      </x:c>
      <x:c r="C15" s="20" t="str">
        <x:v>Не менять после публикации</x:v>
      </x:c>
      <x:c r="D15" s="19"/>
    </x:row>
    <x:row r="16">
      <x:c r="A16" s="18" t="str">
        <x:v>Правила</x:v>
      </x:c>
      <x:c r="B16" s="18" t="str">
        <x:v>variant_id</x:v>
      </x:c>
      <x:c r="C16" s="18" t="str">
        <x:v>Не менять после импорта</x:v>
      </x:c>
      <x:c r="D16" s="19"/>
    </x:row>
    <x:row r="17">
      <x:c r="A17" s="20" t="str">
        <x:v>Правила</x:v>
      </x:c>
      <x:c r="B17" s="20" t="str">
        <x:v>Единицы хранения</x:v>
      </x:c>
      <x:c r="C17" s="20" t="str">
        <x:v>Не менять вручную</x:v>
      </x:c>
      <x:c r="D17" s="19"/>
    </x:row>
    <x:row r="18">
      <x:c r="A18" s="18" t="str">
        <x:v>Правила</x:v>
      </x:c>
      <x:c r="B18" s="18" t="str">
        <x:v>Новые значения</x:v>
      </x:c>
      <x:c r="C18" s="18" t="str">
        <x:v>Сначала добавлять в DICTIONARIES</x:v>
      </x:c>
      <x:c r="D18" s="19"/>
    </x:row>
    <x:row r="19">
      <x:c r="A19" s="20" t="str">
        <x:v>Правила</x:v>
      </x:c>
      <x:c r="B19" s="20" t="str">
        <x:v>Спорные значения</x:v>
      </x:c>
      <x:c r="C19" s="20" t="str">
        <x:v>Отмечать needs_review</x:v>
      </x:c>
      <x:c r="D19" s="19"/>
    </x:row>
    <x:row r="20">
      <x:c r="A20" s="18" t="str">
        <x:v>Правила</x:v>
      </x:c>
      <x:c r="B20" s="18" t="str">
        <x:v>Удаление</x:v>
      </x:c>
      <x:c r="C20" s="18" t="str">
        <x:v>Не удалять строки; использовать archived</x:v>
      </x:c>
      <x:c r="D20" s="19"/>
    </x:row>
    <x:row r="21">
      <x:c r="A21" s="20" t="str">
        <x:v>Правила</x:v>
      </x:c>
      <x:c r="B21" s="20" t="str">
        <x:v>Нормализация</x:v>
      </x:c>
      <x:c r="C21" s="20" t="str">
        <x:v>Не объединять свойства модели и варианта</x:v>
      </x:c>
      <x:c r="D21" s="19"/>
    </x:row>
    <x:row r="22">
      <x:c r="A22" s="18" t="str">
        <x:v>Правила</x:v>
      </x:c>
      <x:c r="B22" s="18" t="str">
        <x:v>Позиции</x:v>
      </x:c>
      <x:c r="C22" s="18" t="str">
        <x:v>Не вводить комбинированные позиции одной системной строкой</x:v>
      </x:c>
      <x:c r="D22" s="19" t="str">
        <x:v>Использовать отдельные boolean/relation keys.</x:v>
      </x:c>
    </x:row>
    <x:row r="23">
      <x:c r="A23" s="20" t="str">
        <x:v>Цветовая легенда</x:v>
      </x:c>
      <x:c r="B23" s="20" t="str">
        <x:v>Зелёный</x:v>
      </x:c>
      <x:c r="C23" s="20" t="str">
        <x:v>verified</x:v>
      </x:c>
      <x:c r="D23" s="19" t="str">
        <x:v>Проверено.</x:v>
      </x:c>
    </x:row>
    <x:row r="24">
      <x:c r="A24" s="18" t="str">
        <x:v>Цветовая легенда</x:v>
      </x:c>
      <x:c r="B24" s="18" t="str">
        <x:v>Янтарный</x:v>
      </x:c>
      <x:c r="C24" s="18" t="str">
        <x:v>needs_review</x:v>
      </x:c>
      <x:c r="D24" s="19" t="str">
        <x:v>Требует подтверждения.</x:v>
      </x:c>
    </x:row>
    <x:row r="25">
      <x:c r="A25" s="20" t="str">
        <x:v>Цветовая легенда</x:v>
      </x:c>
      <x:c r="B25" s="20" t="str">
        <x:v>Красный</x:v>
      </x:c>
      <x:c r="C25" s="20" t="str">
        <x:v>critical / blocks_publication</x:v>
      </x:c>
      <x:c r="D25" s="19" t="str">
        <x:v>Критическая ошибка или блокировка.</x:v>
      </x:c>
    </x:row>
    <x:row r="26">
      <x:c r="A26" s="18" t="str">
        <x:v>Цветовая легенда</x:v>
      </x:c>
      <x:c r="B26" s="18" t="str">
        <x:v>Серый</x:v>
      </x:c>
      <x:c r="C26" s="18" t="str">
        <x:v>source/service field</x:v>
      </x:c>
      <x:c r="D26" s="19" t="str">
        <x:v>Служебное поле.</x:v>
      </x:c>
    </x:row>
    <x:row r="27">
      <x:c r="A27" s="20" t="str">
        <x:v>Цветовая легенда</x:v>
      </x:c>
      <x:c r="B27" s="20" t="str">
        <x:v>Синий</x:v>
      </x:c>
      <x:c r="C27" s="20" t="str">
        <x:v>calculated / working</x:v>
      </x:c>
      <x:c r="D27" s="19" t="str">
        <x:v>Вычисляемое поле или рабочая гипотеза.</x:v>
      </x:c>
    </x:row>
  </x:sheetData>
  <x:pageMargins left="0.7" right="0.7" top="0.75" bottom="0.75" header="0.3" footer="0.3"/>
  <x:tableParts count="1">
    <x:tablePart xmlns:r="http://schemas.openxmlformats.org/officeDocument/2006/relationships" r:id="Ra540787b83d74a7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1" hidden="0" customWidth="1"/>
    <x:col min="3" max="3" width="11" hidden="0" customWidth="1"/>
    <x:col min="4" max="4" width="13" hidden="0" customWidth="1"/>
    <x:col min="5" max="5" width="10" hidden="0" customWidth="1"/>
    <x:col min="6" max="6" width="13" hidden="0" customWidth="1"/>
    <x:col min="7" max="7" width="13" hidden="0" customWidth="1"/>
    <x:col min="8" max="8" width="10" hidden="0" customWidth="1"/>
    <x:col min="9" max="9" width="11" hidden="0" customWidth="1"/>
    <x:col min="10" max="10" width="17" hidden="0" customWidth="1"/>
    <x:col min="11" max="11" width="12" hidden="0" customWidth="1"/>
    <x:col min="12" max="12" width="10" hidden="0" customWidth="1"/>
    <x:col min="13" max="13" width="10" hidden="0" customWidth="1"/>
    <x:col min="14" max="14" width="11" hidden="0" customWidth="1"/>
    <x:col min="15" max="15" width="19" hidden="0" customWidth="1"/>
    <x:col min="16" max="16" width="18" hidden="0" customWidth="1"/>
    <x:col min="17" max="17" width="16" hidden="0" customWidth="1"/>
    <x:col min="18" max="18" width="18" hidden="0" customWidth="1"/>
    <x:col min="19" max="19" width="17" hidden="0" customWidth="1"/>
    <x:col min="20" max="20" width="18" hidden="0" customWidth="1"/>
    <x:col min="21" max="21" width="19" hidden="0" customWidth="1"/>
    <x:col min="22" max="22" width="22" hidden="0" customWidth="1"/>
    <x:col min="23" max="23" width="28" hidden="0" customWidth="1"/>
    <x:col min="24" max="24" width="28" hidden="0" customWidth="1"/>
    <x:col min="25" max="25" width="28" hidden="0" customWidth="1"/>
    <x:col min="26" max="26" width="28" hidden="0" customWidth="1"/>
    <x:col min="27" max="27" width="28" hidden="0" customWidth="1"/>
    <x:col min="28" max="28" width="17" hidden="0" customWidth="1"/>
    <x:col min="29" max="29" width="20" hidden="0" customWidth="1"/>
    <x:col min="30" max="30" width="28" hidden="0" customWidth="1"/>
    <x:col min="31" max="31" width="14" hidden="0" customWidth="1"/>
    <x:col min="32" max="32" width="15" hidden="0" customWidth="1"/>
    <x:col min="33" max="33" width="12" hidden="0" customWidth="1"/>
    <x:col min="34" max="34" width="19" hidden="0" customWidth="1"/>
    <x:col min="35" max="35" width="18" hidden="0" customWidth="1"/>
    <x:col min="36" max="36" width="28" hidden="0" customWidth="1"/>
    <x:col min="37" max="37" width="12" hidden="0" customWidth="1"/>
    <x:col min="38" max="38" width="16" hidden="0" customWidth="1"/>
    <x:col min="39" max="39" width="14" hidden="0" customWidth="1"/>
    <x:col min="40" max="40" width="18" hidden="0" customWidth="1"/>
    <x:col min="41" max="41" width="28" hidden="0" customWidth="1"/>
    <x:col min="42" max="42" width="28" hidden="0" customWidth="1"/>
    <x:col min="43" max="43" width="28" hidden="0" customWidth="1"/>
  </x:cols>
  <x:sheetData>
    <x:row r="1" ht="34" customHeight="1">
      <x:c r="A1" s="17" t="str">
        <x:v>model_id</x:v>
      </x:c>
      <x:c r="B1" s="17" t="str">
        <x:v>public_brand</x:v>
      </x:c>
      <x:c r="C1" s="17" t="str">
        <x:v>source_brand</x:v>
      </x:c>
      <x:c r="D1" s="17" t="str">
        <x:v>catalog_family</x:v>
      </x:c>
      <x:c r="E1" s="17" t="str">
        <x:v>model_code</x:v>
      </x:c>
      <x:c r="F1" s="17" t="str">
        <x:v>public_name_ru</x:v>
      </x:c>
      <x:c r="G1" s="17" t="str">
        <x:v>public_name_en</x:v>
      </x:c>
      <x:c r="H1" s="17" t="str">
        <x:v>slug</x:v>
      </x:c>
      <x:c r="I1" s="17" t="str">
        <x:v>model_status</x:v>
      </x:c>
      <x:c r="J1" s="17" t="str">
        <x:v>publication_status</x:v>
      </x:c>
      <x:c r="K1" s="17" t="str">
        <x:v>tire_type_key</x:v>
      </x:c>
      <x:c r="L1" s="17" t="str">
        <x:v>axle_steer</x:v>
      </x:c>
      <x:c r="M1" s="17" t="str">
        <x:v>axle_drive</x:v>
      </x:c>
      <x:c r="N1" s="17" t="str">
        <x:v>axle_trailer</x:v>
      </x:c>
      <x:c r="O1" s="17" t="str">
        <x:v>application_long_haul</x:v>
      </x:c>
      <x:c r="P1" s="17" t="str">
        <x:v>application_regional</x:v>
      </x:c>
      <x:c r="Q1" s="17" t="str">
        <x:v>application_urban</x:v>
      </x:c>
      <x:c r="R1" s="17" t="str">
        <x:v>application_off_road</x:v>
      </x:c>
      <x:c r="S1" s="17" t="str">
        <x:v>application_winter</x:v>
      </x:c>
      <x:c r="T1" s="17" t="str">
        <x:v>application_snow_mud</x:v>
      </x:c>
      <x:c r="U1" s="17" t="str">
        <x:v>source_position_label</x:v>
      </x:c>
      <x:c r="V1" s="17" t="str">
        <x:v>application_keys</x:v>
      </x:c>
      <x:c r="W1" s="17" t="str">
        <x:v>feature_keys</x:v>
      </x:c>
      <x:c r="X1" s="17" t="str">
        <x:v>short_description_ru</x:v>
      </x:c>
      <x:c r="Y1" s="17" t="str">
        <x:v>full_description_ru</x:v>
      </x:c>
      <x:c r="Z1" s="17" t="str">
        <x:v>short_description_en_source</x:v>
      </x:c>
      <x:c r="AA1" s="17" t="str">
        <x:v>feature_summary_ru</x:v>
      </x:c>
      <x:c r="AB1" s="17" t="str">
        <x:v>tread_pattern_type</x:v>
      </x:c>
      <x:c r="AC1" s="17" t="str">
        <x:v>intended_vehicle_types</x:v>
      </x:c>
      <x:c r="AD1" s="17" t="str">
        <x:v>usage_notes</x:v>
      </x:c>
      <x:c r="AE1" s="17" t="str">
        <x:v>main_image_path</x:v>
      </x:c>
      <x:c r="AF1" s="17" t="str">
        <x:v>tread_image_path</x:v>
      </x:c>
      <x:c r="AG1" s="17" t="str">
        <x:v>gallery_paths</x:v>
      </x:c>
      <x:c r="AH1" s="17" t="str">
        <x:v>position_diagram_path</x:v>
      </x:c>
      <x:c r="AI1" s="17" t="str">
        <x:v>source_page_preview</x:v>
      </x:c>
      <x:c r="AJ1" s="17" t="str">
        <x:v>source_document</x:v>
      </x:c>
      <x:c r="AK1" s="17" t="str">
        <x:v>source_page</x:v>
      </x:c>
      <x:c r="AL1" s="17" t="str">
        <x:v>source_model_code</x:v>
      </x:c>
      <x:c r="AM1" s="17" t="str">
        <x:v>source_verified</x:v>
      </x:c>
      <x:c r="AN1" s="17" t="str">
        <x:v>verification_status</x:v>
      </x:c>
      <x:c r="AO1" s="17" t="str">
        <x:v>verification_notes</x:v>
      </x:c>
      <x:c r="AP1" s="17" t="str">
        <x:v>created_at</x:v>
      </x:c>
      <x:c r="AQ1" s="17" t="str">
        <x:v>updated_at</x:v>
      </x:c>
    </x:row>
    <x:row r="2">
      <x:c r="A2" s="18" t="str">
        <x:v>BIZON-MODEL-DLA968</x:v>
      </x:c>
      <x:c r="B2" s="18" t="str">
        <x:v>BIZON</x:v>
      </x:c>
      <x:c r="C2" s="19" t="str">
        <x:v>DOUBLESTAR</x:v>
      </x:c>
      <x:c r="D2" s="18" t="str">
        <x:v>TBR</x:v>
      </x:c>
      <x:c r="E2" s="18" t="str">
        <x:v>DLA968</x:v>
      </x:c>
      <x:c r="F2" s="18" t="str">
        <x:v>BIZON DLA968</x:v>
      </x:c>
      <x:c r="G2" s="18" t="str">
        <x:v>BIZON DLA968</x:v>
      </x:c>
      <x:c r="H2" s="18" t="str">
        <x:v>dla968</x:v>
      </x:c>
      <x:c r="I2" s="18" t="str">
        <x:v>active</x:v>
      </x:c>
      <x:c r="J2" s="18" t="str">
        <x:v>draft</x:v>
      </x:c>
      <x:c r="K2" s="18" t="str">
        <x:v>tbr</x:v>
      </x:c>
      <x:c r="L2" s="28" t="b">
        <x:v>1</x:v>
      </x:c>
      <x:c r="M2" s="28" t="b">
        <x:v>0</x:v>
      </x:c>
      <x:c r="N2" s="28" t="b">
        <x:v>1</x:v>
      </x:c>
      <x:c r="O2" s="28" t="b">
        <x:v>1</x:v>
      </x:c>
      <x:c r="P2" s="28" t="b">
        <x:v>1</x:v>
      </x:c>
      <x:c r="Q2" s="28" t="b">
        <x:v>0</x:v>
      </x:c>
      <x:c r="R2" s="28" t="b">
        <x:v>0</x:v>
      </x:c>
      <x:c r="S2" s="28" t="b">
        <x:v>0</x:v>
      </x:c>
      <x:c r="T2" s="28" t="b">
        <x:v>0</x:v>
      </x:c>
      <x:c r="U2" s="19" t="str">
        <x:v>Steer and trailer</x:v>
      </x:c>
      <x:c r="V2" s="18" t="str">
        <x:v>["long-haul","regional"]</x:v>
      </x:c>
      <x:c r="W2" s="18" t="str">
        <x:v>["handling","safety","high-mileage"]</x:v>
      </x:c>
      <x:c r="X2" s="18" t="str">
        <x:v>Грузовая шина BIZON DLA968 для магистральной и региональной эксплуатации.</x:v>
      </x:c>
      <x:c r="Y2" s="18" t="str">
        <x:v>Модель BIZON DLA968. Позиция установки по каталогу: Steer and trailer. Основные заявленные свойства: Управляемость; Безопасность; Высокий пробег.</x:v>
      </x:c>
      <x:c r="Z2" s="19" t="str">
        <x:v>Wide tread width offers high pattern volume which results into a high mileage performance.</x:v>
      </x:c>
      <x:c r="AA2" s="18" t="str">
        <x:v>Управляемость; Безопасность; Высокий пробег</x:v>
      </x:c>
      <x:c r="AB2" s="18" t="str"/>
      <x:c r="AC2" s="18" t="str"/>
      <x:c r="AD2" s="19" t="str">
        <x:v>Русский текст является редакционным переводом и требует контент-проверки перед публикацией.</x:v>
      </x:c>
      <x:c r="AE2" s="18" t="str"/>
      <x:c r="AF2" s="18" t="str"/>
      <x:c r="AG2" s="18" t="str">
        <x:v>[]</x:v>
      </x:c>
      <x:c r="AH2" s="18" t="str"/>
      <x:c r="AI2" s="19" t="str"/>
      <x:c r="AJ2" s="19" t="str">
        <x:v>DOUBLESTAR COMBODIA TBR CATALOGUE.pdf</x:v>
      </x:c>
      <x:c r="AK2" s="19" t="n">
        <x:v>4</x:v>
      </x:c>
      <x:c r="AL2" s="19" t="str">
        <x:v>DLA968</x:v>
      </x:c>
      <x:c r="AM2" s="29" t="b">
        <x:v>1</x:v>
      </x:c>
      <x:c r="AN2" s="19" t="str">
        <x:v>verified</x:v>
      </x:c>
      <x:c r="AO2" s="19" t="str">
        <x:v>Код модели, позиция и пиктограммы сверены визуально; русский контент является редакционным переводом.</x:v>
      </x:c>
      <x:c r="AP2" s="30" t="n">
        <x:v>46229</x:v>
      </x:c>
      <x:c r="AQ2" s="30" t="n">
        <x:v>46229</x:v>
      </x:c>
    </x:row>
    <x:row r="3">
      <x:c r="A3" s="20" t="str">
        <x:v>BIZON-MODEL-DSR266</x:v>
      </x:c>
      <x:c r="B3" s="20" t="str">
        <x:v>BIZON</x:v>
      </x:c>
      <x:c r="C3" s="19" t="str">
        <x:v>DOUBLESTAR</x:v>
      </x:c>
      <x:c r="D3" s="20" t="str">
        <x:v>TBR</x:v>
      </x:c>
      <x:c r="E3" s="20" t="str">
        <x:v>DSR266</x:v>
      </x:c>
      <x:c r="F3" s="20" t="str">
        <x:v>BIZON DSR266</x:v>
      </x:c>
      <x:c r="G3" s="20" t="str">
        <x:v>BIZON DSR266</x:v>
      </x:c>
      <x:c r="H3" s="20" t="str">
        <x:v>dsr266</x:v>
      </x:c>
      <x:c r="I3" s="20" t="str">
        <x:v>active</x:v>
      </x:c>
      <x:c r="J3" s="20" t="str">
        <x:v>draft</x:v>
      </x:c>
      <x:c r="K3" s="20" t="str">
        <x:v>tbr</x:v>
      </x:c>
      <x:c r="L3" s="31" t="b">
        <x:v>1</x:v>
      </x:c>
      <x:c r="M3" s="31" t="b">
        <x:v>1</x:v>
      </x:c>
      <x:c r="N3" s="31" t="b">
        <x:v>1</x:v>
      </x:c>
      <x:c r="O3" s="31" t="b">
        <x:v>1</x:v>
      </x:c>
      <x:c r="P3" s="31" t="b">
        <x:v>0</x:v>
      </x:c>
      <x:c r="Q3" s="31" t="b">
        <x:v>0</x:v>
      </x:c>
      <x:c r="R3" s="31" t="b">
        <x:v>0</x:v>
      </x:c>
      <x:c r="S3" s="31" t="b">
        <x:v>0</x:v>
      </x:c>
      <x:c r="T3" s="31" t="b">
        <x:v>0</x:v>
      </x:c>
      <x:c r="U3" s="19" t="str">
        <x:v>All position</x:v>
      </x:c>
      <x:c r="V3" s="20" t="str">
        <x:v>["long-haul"]</x:v>
      </x:c>
      <x:c r="W3" s="20" t="str">
        <x:v>["economy","high-mileage","wet-grip"]</x:v>
      </x:c>
      <x:c r="X3" s="20" t="str">
        <x:v>Грузовая шина BIZON DSR266 для магистральной эксплуатации.</x:v>
      </x:c>
      <x:c r="Y3" s="20" t="str">
        <x:v>Модель BIZON DSR266. Позиция установки по каталогу: All position. Основные заявленные свойства: Экономичность; Высокий пробег; Сцепление на мокрой дороге.</x:v>
      </x:c>
      <x:c r="Z3" s="19" t="str">
        <x:v>Three zig-zag longitudinal pattern grooves, combined with crack pattern, provide good wet resistance and good heat dispersion.</x:v>
      </x:c>
      <x:c r="AA3" s="20" t="str">
        <x:v>Экономичность; Высокий пробег; Сцепление на мокрой дороге</x:v>
      </x:c>
      <x:c r="AB3" s="20" t="str"/>
      <x:c r="AC3" s="20" t="str"/>
      <x:c r="AD3" s="19" t="str">
        <x:v>Русский текст является редакционным переводом и требует контент-проверки перед публикацией.</x:v>
      </x:c>
      <x:c r="AE3" s="20" t="str"/>
      <x:c r="AF3" s="20" t="str"/>
      <x:c r="AG3" s="20" t="str">
        <x:v>[]</x:v>
      </x:c>
      <x:c r="AH3" s="20" t="str"/>
      <x:c r="AI3" s="19" t="str"/>
      <x:c r="AJ3" s="19" t="str">
        <x:v>DOUBLESTAR COMBODIA TBR CATALOGUE.pdf</x:v>
      </x:c>
      <x:c r="AK3" s="19" t="n">
        <x:v>4</x:v>
      </x:c>
      <x:c r="AL3" s="19" t="str">
        <x:v>DSR266</x:v>
      </x:c>
      <x:c r="AM3" s="29" t="b">
        <x:v>1</x:v>
      </x:c>
      <x:c r="AN3" s="19" t="str">
        <x:v>verified</x:v>
      </x:c>
      <x:c r="AO3" s="19" t="str">
        <x:v>Код модели, позиция и пиктограммы сверены визуально; русский контент является редакционным переводом.</x:v>
      </x:c>
      <x:c r="AP3" s="30" t="n">
        <x:v>46229</x:v>
      </x:c>
      <x:c r="AQ3" s="30" t="n">
        <x:v>46229</x:v>
      </x:c>
    </x:row>
    <x:row r="4">
      <x:c r="A4" s="18" t="str">
        <x:v>BIZON-MODEL-DLD816</x:v>
      </x:c>
      <x:c r="B4" s="18" t="str">
        <x:v>BIZON</x:v>
      </x:c>
      <x:c r="C4" s="19" t="str">
        <x:v>DOUBLESTAR</x:v>
      </x:c>
      <x:c r="D4" s="18" t="str">
        <x:v>TBR</x:v>
      </x:c>
      <x:c r="E4" s="18" t="str">
        <x:v>DLD816</x:v>
      </x:c>
      <x:c r="F4" s="18" t="str">
        <x:v>BIZON DLD816</x:v>
      </x:c>
      <x:c r="G4" s="18" t="str">
        <x:v>BIZON DLD816</x:v>
      </x:c>
      <x:c r="H4" s="18" t="str">
        <x:v>dld816</x:v>
      </x:c>
      <x:c r="I4" s="18" t="str">
        <x:v>active</x:v>
      </x:c>
      <x:c r="J4" s="18" t="str">
        <x:v>draft</x:v>
      </x:c>
      <x:c r="K4" s="18" t="str">
        <x:v>tbr</x:v>
      </x:c>
      <x:c r="L4" s="28" t="b">
        <x:v>0</x:v>
      </x:c>
      <x:c r="M4" s="28" t="b">
        <x:v>1</x:v>
      </x:c>
      <x:c r="N4" s="28" t="b">
        <x:v>0</x:v>
      </x:c>
      <x:c r="O4" s="28" t="b">
        <x:v>1</x:v>
      </x:c>
      <x:c r="P4" s="28" t="b">
        <x:v>0</x:v>
      </x:c>
      <x:c r="Q4" s="28" t="b">
        <x:v>0</x:v>
      </x:c>
      <x:c r="R4" s="28" t="b">
        <x:v>0</x:v>
      </x:c>
      <x:c r="S4" s="28" t="b">
        <x:v>0</x:v>
      </x:c>
      <x:c r="T4" s="28" t="b">
        <x:v>0</x:v>
      </x:c>
      <x:c r="U4" s="19" t="str">
        <x:v>Drive</x:v>
      </x:c>
      <x:c r="V4" s="18" t="str">
        <x:v>["long-haul"]</x:v>
      </x:c>
      <x:c r="W4" s="18" t="str">
        <x:v>["high-mileage","wet-grip","heavy-load"]</x:v>
      </x:c>
      <x:c r="X4" s="18" t="str">
        <x:v>Грузовая шина BIZON DLD816 для магистральной эксплуатации.</x:v>
      </x:c>
      <x:c r="Y4" s="18" t="str">
        <x:v>Модель BIZON DLD816. Позиция установки по каталогу: Drive. Основные заявленные свойства: Высокий пробег; Сцепление на мокрой дороге; Высокая грузоподъёмность.</x:v>
      </x:c>
      <x:c r="Z4" s="19" t="str">
        <x:v>Combination structure of rib and 6 angle block pattern ensure high traction, improve wet and snow grip performance in diverse conditions.</x:v>
      </x:c>
      <x:c r="AA4" s="18" t="str">
        <x:v>Высокий пробег; Сцепление на мокрой дороге; Высокая грузоподъёмность</x:v>
      </x:c>
      <x:c r="AB4" s="18" t="str"/>
      <x:c r="AC4" s="18" t="str"/>
      <x:c r="AD4" s="19" t="str">
        <x:v>Русский текст является редакционным переводом и требует контент-проверки перед публикацией.</x:v>
      </x:c>
      <x:c r="AE4" s="18" t="str"/>
      <x:c r="AF4" s="18" t="str"/>
      <x:c r="AG4" s="18" t="str">
        <x:v>[]</x:v>
      </x:c>
      <x:c r="AH4" s="18" t="str"/>
      <x:c r="AI4" s="19" t="str"/>
      <x:c r="AJ4" s="19" t="str">
        <x:v>DOUBLESTAR COMBODIA TBR CATALOGUE.pdf</x:v>
      </x:c>
      <x:c r="AK4" s="19" t="n">
        <x:v>4</x:v>
      </x:c>
      <x:c r="AL4" s="19" t="str">
        <x:v>DLD816</x:v>
      </x:c>
      <x:c r="AM4" s="29" t="b">
        <x:v>1</x:v>
      </x:c>
      <x:c r="AN4" s="19" t="str">
        <x:v>verified</x:v>
      </x:c>
      <x:c r="AO4" s="19" t="str">
        <x:v>Код модели, позиция и пиктограммы сверены визуально; русский контент является редакционным переводом.</x:v>
      </x:c>
      <x:c r="AP4" s="30" t="n">
        <x:v>46229</x:v>
      </x:c>
      <x:c r="AQ4" s="30" t="n">
        <x:v>46229</x:v>
      </x:c>
    </x:row>
    <x:row r="5">
      <x:c r="A5" s="20" t="str">
        <x:v>BIZON-MODEL-DSR08A</x:v>
      </x:c>
      <x:c r="B5" s="20" t="str">
        <x:v>BIZON</x:v>
      </x:c>
      <x:c r="C5" s="19" t="str">
        <x:v>DOUBLESTAR</x:v>
      </x:c>
      <x:c r="D5" s="20" t="str">
        <x:v>TBR</x:v>
      </x:c>
      <x:c r="E5" s="20" t="str">
        <x:v>DSR08A</x:v>
      </x:c>
      <x:c r="F5" s="20" t="str">
        <x:v>BIZON DSR08A</x:v>
      </x:c>
      <x:c r="G5" s="20" t="str">
        <x:v>BIZON DSR08A</x:v>
      </x:c>
      <x:c r="H5" s="20" t="str">
        <x:v>dsr08a</x:v>
      </x:c>
      <x:c r="I5" s="20" t="str">
        <x:v>active</x:v>
      </x:c>
      <x:c r="J5" s="20" t="str">
        <x:v>draft</x:v>
      </x:c>
      <x:c r="K5" s="20" t="str">
        <x:v>tbr</x:v>
      </x:c>
      <x:c r="L5" s="31" t="b">
        <x:v>0</x:v>
      </x:c>
      <x:c r="M5" s="31" t="b">
        <x:v>1</x:v>
      </x:c>
      <x:c r="N5" s="31" t="b">
        <x:v>0</x:v>
      </x:c>
      <x:c r="O5" s="31" t="b">
        <x:v>1</x:v>
      </x:c>
      <x:c r="P5" s="31" t="b">
        <x:v>0</x:v>
      </x:c>
      <x:c r="Q5" s="31" t="b">
        <x:v>0</x:v>
      </x:c>
      <x:c r="R5" s="31" t="b">
        <x:v>0</x:v>
      </x:c>
      <x:c r="S5" s="31" t="b">
        <x:v>0</x:v>
      </x:c>
      <x:c r="T5" s="31" t="b">
        <x:v>0</x:v>
      </x:c>
      <x:c r="U5" s="19" t="str">
        <x:v>Drive</x:v>
      </x:c>
      <x:c r="V5" s="20" t="str">
        <x:v>["long-haul"]</x:v>
      </x:c>
      <x:c r="W5" s="20" t="str">
        <x:v>["high-mileage","anti-wear","anti-tear","short-braking-distance"]</x:v>
      </x:c>
      <x:c r="X5" s="20" t="str">
        <x:v>Грузовая шина BIZON DSR08A для магистральной эксплуатации.</x:v>
      </x:c>
      <x:c r="Y5" s="20" t="str">
        <x:v>Модель BIZON DSR08A. Позиция установки по каталогу: Drive. Основные заявленные свойства: Высокий пробег; Износостойкость; Стойкость к разрывам; Короткий тормозной путь.</x:v>
      </x:c>
      <x:c r="Z5" s="19" t="str">
        <x:v>All-season pattern design, excellent driving, braking and anti-skid performance in rainy and snowy weather.</x:v>
      </x:c>
      <x:c r="AA5" s="20" t="str">
        <x:v>Высокий пробег; Износостойкость; Стойкость к разрывам; Короткий тормозной путь</x:v>
      </x:c>
      <x:c r="AB5" s="20" t="str"/>
      <x:c r="AC5" s="20" t="str"/>
      <x:c r="AD5" s="19" t="str">
        <x:v>Русский текст является редакционным переводом и требует контент-проверки перед публикацией.</x:v>
      </x:c>
      <x:c r="AE5" s="20" t="str"/>
      <x:c r="AF5" s="20" t="str"/>
      <x:c r="AG5" s="20" t="str">
        <x:v>[]</x:v>
      </x:c>
      <x:c r="AH5" s="20" t="str"/>
      <x:c r="AI5" s="19" t="str"/>
      <x:c r="AJ5" s="19" t="str">
        <x:v>DOUBLESTAR COMBODIA TBR CATALOGUE.pdf</x:v>
      </x:c>
      <x:c r="AK5" s="19" t="n">
        <x:v>4</x:v>
      </x:c>
      <x:c r="AL5" s="19" t="str">
        <x:v>DSR08A</x:v>
      </x:c>
      <x:c r="AM5" s="29" t="b">
        <x:v>1</x:v>
      </x:c>
      <x:c r="AN5" s="19" t="str">
        <x:v>verified</x:v>
      </x:c>
      <x:c r="AO5" s="19" t="str">
        <x:v>Код модели, позиция и пиктограммы сверены визуально; русский контент является редакционным переводом.</x:v>
      </x:c>
      <x:c r="AP5" s="30" t="n">
        <x:v>46229</x:v>
      </x:c>
      <x:c r="AQ5" s="30" t="n">
        <x:v>46229</x:v>
      </x:c>
    </x:row>
    <x:row r="6">
      <x:c r="A6" s="18" t="str">
        <x:v>BIZON-MODEL-DMS100</x:v>
      </x:c>
      <x:c r="B6" s="18" t="str">
        <x:v>BIZON</x:v>
      </x:c>
      <x:c r="C6" s="19" t="str">
        <x:v>DOUBLESTAR</x:v>
      </x:c>
      <x:c r="D6" s="18" t="str">
        <x:v>TBR</x:v>
      </x:c>
      <x:c r="E6" s="18" t="str">
        <x:v>DMS100</x:v>
      </x:c>
      <x:c r="F6" s="18" t="str">
        <x:v>BIZON DMS100</x:v>
      </x:c>
      <x:c r="G6" s="18" t="str">
        <x:v>BIZON DMS100</x:v>
      </x:c>
      <x:c r="H6" s="18" t="str">
        <x:v>dms100</x:v>
      </x:c>
      <x:c r="I6" s="18" t="str">
        <x:v>active</x:v>
      </x:c>
      <x:c r="J6" s="18" t="str">
        <x:v>draft</x:v>
      </x:c>
      <x:c r="K6" s="18" t="str">
        <x:v>tbr</x:v>
      </x:c>
      <x:c r="L6" s="28" t="b">
        <x:v>1</x:v>
      </x:c>
      <x:c r="M6" s="28" t="b">
        <x:v>0</x:v>
      </x:c>
      <x:c r="N6" s="28" t="b">
        <x:v>1</x:v>
      </x:c>
      <x:c r="O6" s="28" t="b">
        <x:v>1</x:v>
      </x:c>
      <x:c r="P6" s="28" t="b">
        <x:v>1</x:v>
      </x:c>
      <x:c r="Q6" s="28" t="b">
        <x:v>0</x:v>
      </x:c>
      <x:c r="R6" s="28" t="b">
        <x:v>0</x:v>
      </x:c>
      <x:c r="S6" s="28" t="b">
        <x:v>0</x:v>
      </x:c>
      <x:c r="T6" s="28" t="b">
        <x:v>0</x:v>
      </x:c>
      <x:c r="U6" s="19" t="str">
        <x:v>Steer and trailer</x:v>
      </x:c>
      <x:c r="V6" s="18" t="str">
        <x:v>["long-haul","regional"]</x:v>
      </x:c>
      <x:c r="W6" s="18" t="str">
        <x:v>["handling","safety","high-mileage"]</x:v>
      </x:c>
      <x:c r="X6" s="18" t="str">
        <x:v>Грузовая шина BIZON DMS100 для магистральной и региональной эксплуатации.</x:v>
      </x:c>
      <x:c r="Y6" s="18" t="str">
        <x:v>Модель BIZON DMS100. Позиция установки по каталогу: Steer and trailer. Основные заявленные свойства: Управляемость; Безопасность; Высокий пробег.</x:v>
      </x:c>
      <x:c r="Z6" s="19" t="str">
        <x:v>New vertical pattern designing provides excellent handling and driving comfort.</x:v>
      </x:c>
      <x:c r="AA6" s="18" t="str">
        <x:v>Управляемость; Безопасность; Высокий пробег</x:v>
      </x:c>
      <x:c r="AB6" s="18" t="str"/>
      <x:c r="AC6" s="18" t="str"/>
      <x:c r="AD6" s="19" t="str">
        <x:v>Русский текст является редакционным переводом и требует контент-проверки перед публикацией.</x:v>
      </x:c>
      <x:c r="AE6" s="18" t="str"/>
      <x:c r="AF6" s="18" t="str"/>
      <x:c r="AG6" s="18" t="str">
        <x:v>[]</x:v>
      </x:c>
      <x:c r="AH6" s="18" t="str"/>
      <x:c r="AI6" s="19" t="str"/>
      <x:c r="AJ6" s="19" t="str">
        <x:v>DOUBLESTAR COMBODIA TBR CATALOGUE.pdf</x:v>
      </x:c>
      <x:c r="AK6" s="19" t="n">
        <x:v>5</x:v>
      </x:c>
      <x:c r="AL6" s="19" t="str">
        <x:v>DMS100</x:v>
      </x:c>
      <x:c r="AM6" s="29" t="b">
        <x:v>1</x:v>
      </x:c>
      <x:c r="AN6" s="19" t="str">
        <x:v>verified</x:v>
      </x:c>
      <x:c r="AO6" s="19" t="str">
        <x:v>Код модели, позиция и пиктограммы сверены визуально; русский контент является редакционным переводом.</x:v>
      </x:c>
      <x:c r="AP6" s="30" t="n">
        <x:v>46229</x:v>
      </x:c>
      <x:c r="AQ6" s="30" t="n">
        <x:v>46229</x:v>
      </x:c>
    </x:row>
    <x:row r="7">
      <x:c r="A7" s="20" t="str">
        <x:v>BIZON-MODEL-DLS918</x:v>
      </x:c>
      <x:c r="B7" s="20" t="str">
        <x:v>BIZON</x:v>
      </x:c>
      <x:c r="C7" s="19" t="str">
        <x:v>DOUBLESTAR</x:v>
      </x:c>
      <x:c r="D7" s="20" t="str">
        <x:v>TBR</x:v>
      </x:c>
      <x:c r="E7" s="20" t="str">
        <x:v>DLS918</x:v>
      </x:c>
      <x:c r="F7" s="20" t="str">
        <x:v>BIZON DLS918</x:v>
      </x:c>
      <x:c r="G7" s="20" t="str">
        <x:v>BIZON DLS918</x:v>
      </x:c>
      <x:c r="H7" s="20" t="str">
        <x:v>dls918</x:v>
      </x:c>
      <x:c r="I7" s="20" t="str">
        <x:v>active</x:v>
      </x:c>
      <x:c r="J7" s="20" t="str">
        <x:v>draft</x:v>
      </x:c>
      <x:c r="K7" s="20" t="str">
        <x:v>tbr</x:v>
      </x:c>
      <x:c r="L7" s="31" t="b">
        <x:v>1</x:v>
      </x:c>
      <x:c r="M7" s="31" t="b">
        <x:v>0</x:v>
      </x:c>
      <x:c r="N7" s="31" t="b">
        <x:v>1</x:v>
      </x:c>
      <x:c r="O7" s="31" t="b">
        <x:v>1</x:v>
      </x:c>
      <x:c r="P7" s="31" t="b">
        <x:v>1</x:v>
      </x:c>
      <x:c r="Q7" s="31" t="b">
        <x:v>0</x:v>
      </x:c>
      <x:c r="R7" s="31" t="b">
        <x:v>0</x:v>
      </x:c>
      <x:c r="S7" s="31" t="b">
        <x:v>0</x:v>
      </x:c>
      <x:c r="T7" s="31" t="b">
        <x:v>0</x:v>
      </x:c>
      <x:c r="U7" s="19" t="str">
        <x:v>Steer and trailer</x:v>
      </x:c>
      <x:c r="V7" s="20" t="str">
        <x:v>["long-haul","regional"]</x:v>
      </x:c>
      <x:c r="W7" s="20" t="str">
        <x:v>["handling","safety","high-mileage"]</x:v>
      </x:c>
      <x:c r="X7" s="20" t="str">
        <x:v>Грузовая шина BIZON DLS918 для магистральной и региональной эксплуатации.</x:v>
      </x:c>
      <x:c r="Y7" s="20" t="str">
        <x:v>Модель BIZON DLS918. Позиция установки по каталогу: Steer and trailer. Основные заявленные свойства: Управляемость; Безопасность; Высокий пробег.</x:v>
      </x:c>
      <x:c r="Z7" s="19" t="str">
        <x:v>Longitudinal pattern and lateral fine groove design provide excellent handling stability and anti-skid performance.</x:v>
      </x:c>
      <x:c r="AA7" s="20" t="str">
        <x:v>Управляемость; Безопасность; Высокий пробег</x:v>
      </x:c>
      <x:c r="AB7" s="20" t="str"/>
      <x:c r="AC7" s="20" t="str"/>
      <x:c r="AD7" s="19" t="str">
        <x:v>Русский текст является редакционным переводом и требует контент-проверки перед публикацией.</x:v>
      </x:c>
      <x:c r="AE7" s="20" t="str"/>
      <x:c r="AF7" s="20" t="str"/>
      <x:c r="AG7" s="20" t="str">
        <x:v>[]</x:v>
      </x:c>
      <x:c r="AH7" s="20" t="str"/>
      <x:c r="AI7" s="19" t="str"/>
      <x:c r="AJ7" s="19" t="str">
        <x:v>DOUBLESTAR COMBODIA TBR CATALOGUE.pdf</x:v>
      </x:c>
      <x:c r="AK7" s="19" t="n">
        <x:v>5</x:v>
      </x:c>
      <x:c r="AL7" s="19" t="str">
        <x:v>DLS918</x:v>
      </x:c>
      <x:c r="AM7" s="29" t="b">
        <x:v>1</x:v>
      </x:c>
      <x:c r="AN7" s="19" t="str">
        <x:v>verified</x:v>
      </x:c>
      <x:c r="AO7" s="19" t="str">
        <x:v>Код модели, позиция и пиктограммы сверены визуально; русский контент является редакционным переводом.</x:v>
      </x:c>
      <x:c r="AP7" s="30" t="n">
        <x:v>46229</x:v>
      </x:c>
      <x:c r="AQ7" s="30" t="n">
        <x:v>46229</x:v>
      </x:c>
    </x:row>
    <x:row r="8">
      <x:c r="A8" s="18" t="str">
        <x:v>BIZON-MODEL-DSR118</x:v>
      </x:c>
      <x:c r="B8" s="18" t="str">
        <x:v>BIZON</x:v>
      </x:c>
      <x:c r="C8" s="19" t="str">
        <x:v>DOUBLESTAR</x:v>
      </x:c>
      <x:c r="D8" s="18" t="str">
        <x:v>TBR</x:v>
      </x:c>
      <x:c r="E8" s="18" t="str">
        <x:v>DSR118</x:v>
      </x:c>
      <x:c r="F8" s="18" t="str">
        <x:v>BIZON DSR118</x:v>
      </x:c>
      <x:c r="G8" s="18" t="str">
        <x:v>BIZON DSR118</x:v>
      </x:c>
      <x:c r="H8" s="18" t="str">
        <x:v>dsr118</x:v>
      </x:c>
      <x:c r="I8" s="18" t="str">
        <x:v>active</x:v>
      </x:c>
      <x:c r="J8" s="18" t="str">
        <x:v>draft</x:v>
      </x:c>
      <x:c r="K8" s="18" t="str">
        <x:v>tbr</x:v>
      </x:c>
      <x:c r="L8" s="28" t="b">
        <x:v>0</x:v>
      </x:c>
      <x:c r="M8" s="28" t="b">
        <x:v>0</x:v>
      </x:c>
      <x:c r="N8" s="28" t="b">
        <x:v>1</x:v>
      </x:c>
      <x:c r="O8" s="28" t="b">
        <x:v>1</x:v>
      </x:c>
      <x:c r="P8" s="28" t="b">
        <x:v>0</x:v>
      </x:c>
      <x:c r="Q8" s="28" t="b">
        <x:v>1</x:v>
      </x:c>
      <x:c r="R8" s="28" t="b">
        <x:v>0</x:v>
      </x:c>
      <x:c r="S8" s="28" t="b">
        <x:v>0</x:v>
      </x:c>
      <x:c r="T8" s="28" t="b">
        <x:v>0</x:v>
      </x:c>
      <x:c r="U8" s="19" t="str">
        <x:v>Trailer</x:v>
      </x:c>
      <x:c r="V8" s="18" t="str">
        <x:v>["long-haul","urban"]</x:v>
      </x:c>
      <x:c r="W8" s="18" t="str">
        <x:v>["low-noise","heavy-load","safety","retreadability"]</x:v>
      </x:c>
      <x:c r="X8" s="18" t="str">
        <x:v>Грузовая шина BIZON DSR118 для магистральной и городской эксплуатации.</x:v>
      </x:c>
      <x:c r="Y8" s="18" t="str">
        <x:v>Модель BIZON DSR118. Позиция установки по каталогу: Trailer. Основные заявленные свойства: Низкий уровень шума; Высокая грузоподъёмность; Безопасность; Восстанавливаемость.</x:v>
      </x:c>
      <x:c r="Z8" s="19" t="str">
        <x:v>Strengthened steel belt ensures better loading capability and safety.</x:v>
      </x:c>
      <x:c r="AA8" s="18" t="str">
        <x:v>Низкий уровень шума; Высокая грузоподъёмность; Безопасность; Восстанавливаемость</x:v>
      </x:c>
      <x:c r="AB8" s="18" t="str"/>
      <x:c r="AC8" s="18" t="str"/>
      <x:c r="AD8" s="19" t="str">
        <x:v>Русский текст является редакционным переводом и требует контент-проверки перед публикацией.</x:v>
      </x:c>
      <x:c r="AE8" s="18" t="str"/>
      <x:c r="AF8" s="18" t="str"/>
      <x:c r="AG8" s="18" t="str">
        <x:v>[]</x:v>
      </x:c>
      <x:c r="AH8" s="18" t="str"/>
      <x:c r="AI8" s="19" t="str"/>
      <x:c r="AJ8" s="19" t="str">
        <x:v>DOUBLESTAR COMBODIA TBR CATALOGUE.pdf</x:v>
      </x:c>
      <x:c r="AK8" s="19" t="n">
        <x:v>5</x:v>
      </x:c>
      <x:c r="AL8" s="19" t="str">
        <x:v>DSR118</x:v>
      </x:c>
      <x:c r="AM8" s="29" t="b">
        <x:v>1</x:v>
      </x:c>
      <x:c r="AN8" s="19" t="str">
        <x:v>verified</x:v>
      </x:c>
      <x:c r="AO8" s="19" t="str">
        <x:v>Код модели, позиция и пиктограммы сверены визуально; русский контент является редакционным переводом.</x:v>
      </x:c>
      <x:c r="AP8" s="30" t="n">
        <x:v>46229</x:v>
      </x:c>
      <x:c r="AQ8" s="30" t="n">
        <x:v>46229</x:v>
      </x:c>
    </x:row>
    <x:row r="9">
      <x:c r="A9" s="20" t="str">
        <x:v>BIZON-MODEL-DSR566</x:v>
      </x:c>
      <x:c r="B9" s="20" t="str">
        <x:v>BIZON</x:v>
      </x:c>
      <x:c r="C9" s="19" t="str">
        <x:v>DOUBLESTAR</x:v>
      </x:c>
      <x:c r="D9" s="20" t="str">
        <x:v>TBR</x:v>
      </x:c>
      <x:c r="E9" s="20" t="str">
        <x:v>DSR566</x:v>
      </x:c>
      <x:c r="F9" s="20" t="str">
        <x:v>BIZON DSR566</x:v>
      </x:c>
      <x:c r="G9" s="20" t="str">
        <x:v>BIZON DSR566</x:v>
      </x:c>
      <x:c r="H9" s="20" t="str">
        <x:v>dsr566</x:v>
      </x:c>
      <x:c r="I9" s="20" t="str">
        <x:v>active</x:v>
      </x:c>
      <x:c r="J9" s="20" t="str">
        <x:v>draft</x:v>
      </x:c>
      <x:c r="K9" s="20" t="str">
        <x:v>tbr</x:v>
      </x:c>
      <x:c r="L9" s="31" t="b">
        <x:v>1</x:v>
      </x:c>
      <x:c r="M9" s="31" t="b">
        <x:v>0</x:v>
      </x:c>
      <x:c r="N9" s="31" t="b">
        <x:v>1</x:v>
      </x:c>
      <x:c r="O9" s="31" t="b">
        <x:v>1</x:v>
      </x:c>
      <x:c r="P9" s="31" t="b">
        <x:v>0</x:v>
      </x:c>
      <x:c r="Q9" s="31" t="b">
        <x:v>0</x:v>
      </x:c>
      <x:c r="R9" s="31" t="b">
        <x:v>0</x:v>
      </x:c>
      <x:c r="S9" s="31" t="b">
        <x:v>0</x:v>
      </x:c>
      <x:c r="T9" s="31" t="b">
        <x:v>0</x:v>
      </x:c>
      <x:c r="U9" s="19" t="str">
        <x:v>Steer and trailer</x:v>
      </x:c>
      <x:c r="V9" s="20" t="str">
        <x:v>["long-haul"]</x:v>
      </x:c>
      <x:c r="W9" s="20" t="str">
        <x:v>["anti-wear","low-noise","economy","high-mileage"]</x:v>
      </x:c>
      <x:c r="X9" s="20" t="str">
        <x:v>Грузовая шина BIZON DSR566 для магистральной эксплуатации.</x:v>
      </x:c>
      <x:c r="Y9" s="20" t="str">
        <x:v>Модель BIZON DSR566. Позиция установки по каталогу: Steer and trailer. Основные заявленные свойства: Износостойкость; Низкий уровень шума; Экономичность; Высокий пробег.</x:v>
      </x:c>
      <x:c r="Z9" s="19" t="str">
        <x:v>Low heat generation and super anti-wear tread provide higher fuel efficiency and longer service life.</x:v>
      </x:c>
      <x:c r="AA9" s="20" t="str">
        <x:v>Износостойкость; Низкий уровень шума; Экономичность; Высокий пробег</x:v>
      </x:c>
      <x:c r="AB9" s="20" t="str"/>
      <x:c r="AC9" s="20" t="str"/>
      <x:c r="AD9" s="19" t="str">
        <x:v>Русский текст является редакционным переводом и требует контент-проверки перед публикацией.</x:v>
      </x:c>
      <x:c r="AE9" s="20" t="str"/>
      <x:c r="AF9" s="20" t="str"/>
      <x:c r="AG9" s="20" t="str">
        <x:v>[]</x:v>
      </x:c>
      <x:c r="AH9" s="20" t="str"/>
      <x:c r="AI9" s="19" t="str"/>
      <x:c r="AJ9" s="19" t="str">
        <x:v>DOUBLESTAR COMBODIA TBR CATALOGUE.pdf</x:v>
      </x:c>
      <x:c r="AK9" s="19" t="n">
        <x:v>5</x:v>
      </x:c>
      <x:c r="AL9" s="19" t="str">
        <x:v>DSR566</x:v>
      </x:c>
      <x:c r="AM9" s="29" t="b">
        <x:v>1</x:v>
      </x:c>
      <x:c r="AN9" s="19" t="str">
        <x:v>verified</x:v>
      </x:c>
      <x:c r="AO9" s="19" t="str">
        <x:v>Код модели, позиция и пиктограммы сверены визуально; русский контент является редакционным переводом.</x:v>
      </x:c>
      <x:c r="AP9" s="30" t="n">
        <x:v>46229</x:v>
      </x:c>
      <x:c r="AQ9" s="30" t="n">
        <x:v>46229</x:v>
      </x:c>
    </x:row>
    <x:row r="10">
      <x:c r="A10" s="18" t="str">
        <x:v>BIZON-MODEL-DLD815</x:v>
      </x:c>
      <x:c r="B10" s="18" t="str">
        <x:v>BIZON</x:v>
      </x:c>
      <x:c r="C10" s="19" t="str">
        <x:v>DOUBLESTAR</x:v>
      </x:c>
      <x:c r="D10" s="18" t="str">
        <x:v>TBR</x:v>
      </x:c>
      <x:c r="E10" s="18" t="str">
        <x:v>DLD815</x:v>
      </x:c>
      <x:c r="F10" s="18" t="str">
        <x:v>BIZON DLD815</x:v>
      </x:c>
      <x:c r="G10" s="18" t="str">
        <x:v>BIZON DLD815</x:v>
      </x:c>
      <x:c r="H10" s="18" t="str">
        <x:v>dld815</x:v>
      </x:c>
      <x:c r="I10" s="18" t="str">
        <x:v>active</x:v>
      </x:c>
      <x:c r="J10" s="18" t="str">
        <x:v>draft</x:v>
      </x:c>
      <x:c r="K10" s="18" t="str">
        <x:v>tbr</x:v>
      </x:c>
      <x:c r="L10" s="28" t="b">
        <x:v>0</x:v>
      </x:c>
      <x:c r="M10" s="28" t="b">
        <x:v>1</x:v>
      </x:c>
      <x:c r="N10" s="28" t="b">
        <x:v>0</x:v>
      </x:c>
      <x:c r="O10" s="28" t="b">
        <x:v>1</x:v>
      </x:c>
      <x:c r="P10" s="28" t="b">
        <x:v>0</x:v>
      </x:c>
      <x:c r="Q10" s="28" t="b">
        <x:v>0</x:v>
      </x:c>
      <x:c r="R10" s="28" t="b">
        <x:v>0</x:v>
      </x:c>
      <x:c r="S10" s="28" t="b">
        <x:v>0</x:v>
      </x:c>
      <x:c r="T10" s="28" t="b">
        <x:v>0</x:v>
      </x:c>
      <x:c r="U10" s="19" t="str">
        <x:v>Drive</x:v>
      </x:c>
      <x:c r="V10" s="18" t="str">
        <x:v>["long-haul"]</x:v>
      </x:c>
      <x:c r="W10" s="18" t="str">
        <x:v>["safety","high-mileage","wet-grip","heat-dissipation"]</x:v>
      </x:c>
      <x:c r="X10" s="18" t="str">
        <x:v>Грузовая шина BIZON DLD815 для магистральной эксплуатации.</x:v>
      </x:c>
      <x:c r="Y10" s="18" t="str">
        <x:v>Модель BIZON DLD815. Позиция установки по каталогу: Drive. Основные заявленные свойства: Безопасность; Высокий пробег; Сцепление на мокрой дороге; Теплоотвод.</x:v>
      </x:c>
      <x:c r="Z10" s="19" t="str">
        <x:v>Big block pattern ensures excellent driving and stronger traction performance.</x:v>
      </x:c>
      <x:c r="AA10" s="18" t="str">
        <x:v>Безопасность; Высокий пробег; Сцепление на мокрой дороге; Теплоотвод</x:v>
      </x:c>
      <x:c r="AB10" s="18" t="str"/>
      <x:c r="AC10" s="18" t="str"/>
      <x:c r="AD10" s="19" t="str">
        <x:v>Русский текст является редакционным переводом и требует контент-проверки перед публикацией.</x:v>
      </x:c>
      <x:c r="AE10" s="18" t="str"/>
      <x:c r="AF10" s="18" t="str"/>
      <x:c r="AG10" s="18" t="str">
        <x:v>[]</x:v>
      </x:c>
      <x:c r="AH10" s="18" t="str"/>
      <x:c r="AI10" s="19" t="str"/>
      <x:c r="AJ10" s="19" t="str">
        <x:v>DOUBLESTAR COMBODIA TBR CATALOGUE.pdf</x:v>
      </x:c>
      <x:c r="AK10" s="19" t="n">
        <x:v>6</x:v>
      </x:c>
      <x:c r="AL10" s="19" t="str">
        <x:v>DLD815</x:v>
      </x:c>
      <x:c r="AM10" s="29" t="b">
        <x:v>1</x:v>
      </x:c>
      <x:c r="AN10" s="19" t="str">
        <x:v>verified</x:v>
      </x:c>
      <x:c r="AO10" s="19" t="str">
        <x:v>Код модели, позиция и пиктограммы сверены визуально; русский контент является редакционным переводом.</x:v>
      </x:c>
      <x:c r="AP10" s="30" t="n">
        <x:v>46229</x:v>
      </x:c>
      <x:c r="AQ10" s="30" t="n">
        <x:v>46229</x:v>
      </x:c>
    </x:row>
    <x:row r="11">
      <x:c r="A11" s="20" t="str">
        <x:v>BIZON-MODEL-DWD100</x:v>
      </x:c>
      <x:c r="B11" s="20" t="str">
        <x:v>BIZON</x:v>
      </x:c>
      <x:c r="C11" s="19" t="str">
        <x:v>DOUBLESTAR</x:v>
      </x:c>
      <x:c r="D11" s="20" t="str">
        <x:v>TBR</x:v>
      </x:c>
      <x:c r="E11" s="20" t="str">
        <x:v>DWD100</x:v>
      </x:c>
      <x:c r="F11" s="20" t="str">
        <x:v>BIZON DWD100</x:v>
      </x:c>
      <x:c r="G11" s="20" t="str">
        <x:v>BIZON DWD100</x:v>
      </x:c>
      <x:c r="H11" s="20" t="str">
        <x:v>dwd100</x:v>
      </x:c>
      <x:c r="I11" s="20" t="str">
        <x:v>active</x:v>
      </x:c>
      <x:c r="J11" s="20" t="str">
        <x:v>draft</x:v>
      </x:c>
      <x:c r="K11" s="20" t="str">
        <x:v>tbr</x:v>
      </x:c>
      <x:c r="L11" s="31" t="b">
        <x:v>1</x:v>
      </x:c>
      <x:c r="M11" s="31" t="b">
        <x:v>1</x:v>
      </x:c>
      <x:c r="N11" s="31" t="b">
        <x:v>1</x:v>
      </x:c>
      <x:c r="O11" s="31" t="b">
        <x:v>0</x:v>
      </x:c>
      <x:c r="P11" s="31" t="b">
        <x:v>0</x:v>
      </x:c>
      <x:c r="Q11" s="31" t="b">
        <x:v>0</x:v>
      </x:c>
      <x:c r="R11" s="31" t="b">
        <x:v>0</x:v>
      </x:c>
      <x:c r="S11" s="31" t="b">
        <x:v>1</x:v>
      </x:c>
      <x:c r="T11" s="31" t="b">
        <x:v>1</x:v>
      </x:c>
      <x:c r="U11" s="19" t="str">
        <x:v>All position</x:v>
      </x:c>
      <x:c r="V11" s="20" t="str">
        <x:v>["winter","snow-mud"]</x:v>
      </x:c>
      <x:c r="W11" s="20" t="str">
        <x:v>["wet-grip","safety","retreadability"]</x:v>
      </x:c>
      <x:c r="X11" s="20" t="str">
        <x:v>Грузовая шина BIZON DWD100 для зимней и эксплуатации по снегу и грязи эксплуатации.</x:v>
      </x:c>
      <x:c r="Y11" s="20" t="str">
        <x:v>Модель BIZON DWD100. Позиция установки по каталогу: All position. Основные заявленные свойства: Сцепление на мокрой дороге; Безопасность; Восстанавливаемость.</x:v>
      </x:c>
      <x:c r="Z11" s="19" t="str">
        <x:v>Wide tread width and big block design increase contact area and help provide stability, handling and mileage.</x:v>
      </x:c>
      <x:c r="AA11" s="20" t="str">
        <x:v>Сцепление на мокрой дороге; Безопасность; Восстанавливаемость</x:v>
      </x:c>
      <x:c r="AB11" s="20" t="str"/>
      <x:c r="AC11" s="20" t="str"/>
      <x:c r="AD11" s="19" t="str">
        <x:v>Русский текст является редакционным переводом и требует контент-проверки перед публикацией.</x:v>
      </x:c>
      <x:c r="AE11" s="20" t="str"/>
      <x:c r="AF11" s="20" t="str"/>
      <x:c r="AG11" s="20" t="str">
        <x:v>[]</x:v>
      </x:c>
      <x:c r="AH11" s="20" t="str"/>
      <x:c r="AI11" s="19" t="str"/>
      <x:c r="AJ11" s="19" t="str">
        <x:v>DOUBLESTAR COMBODIA TBR CATALOGUE.pdf</x:v>
      </x:c>
      <x:c r="AK11" s="19" t="n">
        <x:v>6</x:v>
      </x:c>
      <x:c r="AL11" s="19" t="str">
        <x:v>DWD100</x:v>
      </x:c>
      <x:c r="AM11" s="29" t="b">
        <x:v>1</x:v>
      </x:c>
      <x:c r="AN11" s="19" t="str">
        <x:v>verified</x:v>
      </x:c>
      <x:c r="AO11" s="19" t="str">
        <x:v>Код модели, позиция и пиктограммы сверены визуально; русский контент является редакционным переводом.</x:v>
      </x:c>
      <x:c r="AP11" s="30" t="n">
        <x:v>46229</x:v>
      </x:c>
      <x:c r="AQ11" s="30" t="n">
        <x:v>46229</x:v>
      </x:c>
    </x:row>
    <x:row r="12">
      <x:c r="A12" s="18" t="str">
        <x:v>BIZON-MODEL-DLD809</x:v>
      </x:c>
      <x:c r="B12" s="18" t="str">
        <x:v>BIZON</x:v>
      </x:c>
      <x:c r="C12" s="19" t="str">
        <x:v>DOUBLESTAR</x:v>
      </x:c>
      <x:c r="D12" s="18" t="str">
        <x:v>TBR</x:v>
      </x:c>
      <x:c r="E12" s="18" t="str">
        <x:v>DLD809</x:v>
      </x:c>
      <x:c r="F12" s="18" t="str">
        <x:v>BIZON DLD809</x:v>
      </x:c>
      <x:c r="G12" s="18" t="str">
        <x:v>BIZON DLD809</x:v>
      </x:c>
      <x:c r="H12" s="18" t="str">
        <x:v>dld809</x:v>
      </x:c>
      <x:c r="I12" s="18" t="str">
        <x:v>active</x:v>
      </x:c>
      <x:c r="J12" s="18" t="str">
        <x:v>draft</x:v>
      </x:c>
      <x:c r="K12" s="18" t="str">
        <x:v>tbr</x:v>
      </x:c>
      <x:c r="L12" s="28" t="b">
        <x:v>0</x:v>
      </x:c>
      <x:c r="M12" s="28" t="b">
        <x:v>1</x:v>
      </x:c>
      <x:c r="N12" s="28" t="b">
        <x:v>0</x:v>
      </x:c>
      <x:c r="O12" s="28" t="b">
        <x:v>1</x:v>
      </x:c>
      <x:c r="P12" s="28" t="b">
        <x:v>0</x:v>
      </x:c>
      <x:c r="Q12" s="28" t="b">
        <x:v>0</x:v>
      </x:c>
      <x:c r="R12" s="28" t="b">
        <x:v>0</x:v>
      </x:c>
      <x:c r="S12" s="28" t="b">
        <x:v>1</x:v>
      </x:c>
      <x:c r="T12" s="28" t="b">
        <x:v>0</x:v>
      </x:c>
      <x:c r="U12" s="19" t="str">
        <x:v>Drive</x:v>
      </x:c>
      <x:c r="V12" s="18" t="str">
        <x:v>["long-haul","winter"]</x:v>
      </x:c>
      <x:c r="W12" s="18" t="str">
        <x:v>["high-mileage","wet-grip","heavy-load"]</x:v>
      </x:c>
      <x:c r="X12" s="18" t="str">
        <x:v>Грузовая шина BIZON DLD809 для магистральной и зимней эксплуатации.</x:v>
      </x:c>
      <x:c r="Y12" s="18" t="str">
        <x:v>Модель BIZON DLD809. Позиция установки по каталогу: Drive. Основные заявленные свойства: Высокий пробег; Сцепление на мокрой дороге; Высокая грузоподъёмность.</x:v>
      </x:c>
      <x:c r="Z12" s="19" t="str">
        <x:v>Wide tread width and block design increase contact area and help improve handling and mileage.</x:v>
      </x:c>
      <x:c r="AA12" s="18" t="str">
        <x:v>Высокий пробег; Сцепление на мокрой дороге; Высокая грузоподъёмность</x:v>
      </x:c>
      <x:c r="AB12" s="18" t="str"/>
      <x:c r="AC12" s="18" t="str"/>
      <x:c r="AD12" s="19" t="str">
        <x:v>Русский текст является редакционным переводом и требует контент-проверки перед публикацией.</x:v>
      </x:c>
      <x:c r="AE12" s="18" t="str"/>
      <x:c r="AF12" s="18" t="str"/>
      <x:c r="AG12" s="18" t="str">
        <x:v>[]</x:v>
      </x:c>
      <x:c r="AH12" s="18" t="str"/>
      <x:c r="AI12" s="19" t="str"/>
      <x:c r="AJ12" s="19" t="str">
        <x:v>DOUBLESTAR COMBODIA TBR CATALOGUE.pdf</x:v>
      </x:c>
      <x:c r="AK12" s="19" t="n">
        <x:v>6</x:v>
      </x:c>
      <x:c r="AL12" s="19" t="str">
        <x:v>DLD809</x:v>
      </x:c>
      <x:c r="AM12" s="29" t="b">
        <x:v>1</x:v>
      </x:c>
      <x:c r="AN12" s="19" t="str">
        <x:v>verified</x:v>
      </x:c>
      <x:c r="AO12" s="19" t="str">
        <x:v>Код модели, позиция и пиктограммы сверены визуально; русский контент является редакционным переводом.</x:v>
      </x:c>
      <x:c r="AP12" s="30" t="n">
        <x:v>46229</x:v>
      </x:c>
      <x:c r="AQ12" s="30" t="n">
        <x:v>46229</x:v>
      </x:c>
    </x:row>
    <x:row r="13">
      <x:c r="A13" s="20" t="str">
        <x:v>BIZON-MODEL-D930</x:v>
      </x:c>
      <x:c r="B13" s="20" t="str">
        <x:v>BIZON</x:v>
      </x:c>
      <x:c r="C13" s="19" t="str">
        <x:v>DOUBLESTAR</x:v>
      </x:c>
      <x:c r="D13" s="20" t="str">
        <x:v>TBR</x:v>
      </x:c>
      <x:c r="E13" s="20" t="str">
        <x:v>D930</x:v>
      </x:c>
      <x:c r="F13" s="20" t="str">
        <x:v>BIZON D930</x:v>
      </x:c>
      <x:c r="G13" s="20" t="str">
        <x:v>BIZON D930</x:v>
      </x:c>
      <x:c r="H13" s="20" t="str">
        <x:v>d930</x:v>
      </x:c>
      <x:c r="I13" s="20" t="str">
        <x:v>active</x:v>
      </x:c>
      <x:c r="J13" s="20" t="str">
        <x:v>draft</x:v>
      </x:c>
      <x:c r="K13" s="20" t="str">
        <x:v>tbr</x:v>
      </x:c>
      <x:c r="L13" s="31" t="b">
        <x:v>1</x:v>
      </x:c>
      <x:c r="M13" s="31" t="b">
        <x:v>1</x:v>
      </x:c>
      <x:c r="N13" s="31" t="b">
        <x:v>1</x:v>
      </x:c>
      <x:c r="O13" s="31" t="b">
        <x:v>0</x:v>
      </x:c>
      <x:c r="P13" s="31" t="b">
        <x:v>0</x:v>
      </x:c>
      <x:c r="Q13" s="31" t="b">
        <x:v>1</x:v>
      </x:c>
      <x:c r="R13" s="31" t="b">
        <x:v>0</x:v>
      </x:c>
      <x:c r="S13" s="31" t="b">
        <x:v>0</x:v>
      </x:c>
      <x:c r="T13" s="31" t="b">
        <x:v>0</x:v>
      </x:c>
      <x:c r="U13" s="19" t="str">
        <x:v>All position</x:v>
      </x:c>
      <x:c r="V13" s="20" t="str">
        <x:v>["urban"]</x:v>
      </x:c>
      <x:c r="W13" s="20" t="str">
        <x:v>["high-mileage","safety","handling","short-braking-distance"]</x:v>
      </x:c>
      <x:c r="X13" s="20" t="str">
        <x:v>Грузовая шина BIZON D930 для городской эксплуатации.</x:v>
      </x:c>
      <x:c r="Y13" s="20" t="str">
        <x:v>Модель BIZON D930. Позиция установки по каталогу: All position. Основные заявленные свойства: Высокий пробег; Безопасность; Управляемость; Короткий тормозной путь.</x:v>
      </x:c>
      <x:c r="Z13" s="19" t="str">
        <x:v>Optimize contour design, disperse stress, and achieve more uniform and wear-resistant pattern wear.</x:v>
      </x:c>
      <x:c r="AA13" s="20" t="str">
        <x:v>Высокий пробег; Безопасность; Управляемость; Короткий тормозной путь</x:v>
      </x:c>
      <x:c r="AB13" s="20" t="str"/>
      <x:c r="AC13" s="20" t="str"/>
      <x:c r="AD13" s="19" t="str">
        <x:v>Русский текст является редакционным переводом и требует контент-проверки перед публикацией.</x:v>
      </x:c>
      <x:c r="AE13" s="20" t="str"/>
      <x:c r="AF13" s="20" t="str"/>
      <x:c r="AG13" s="20" t="str">
        <x:v>[]</x:v>
      </x:c>
      <x:c r="AH13" s="20" t="str"/>
      <x:c r="AI13" s="19" t="str"/>
      <x:c r="AJ13" s="19" t="str">
        <x:v>DOUBLESTAR COMBODIA TBR CATALOGUE.pdf</x:v>
      </x:c>
      <x:c r="AK13" s="19" t="n">
        <x:v>6</x:v>
      </x:c>
      <x:c r="AL13" s="19" t="str">
        <x:v>D930</x:v>
      </x:c>
      <x:c r="AM13" s="29" t="b">
        <x:v>1</x:v>
      </x:c>
      <x:c r="AN13" s="19" t="str">
        <x:v>verified</x:v>
      </x:c>
      <x:c r="AO13" s="19" t="str">
        <x:v>Код модели, позиция и пиктограммы сверены визуально; русский контент является редакционным переводом.</x:v>
      </x:c>
      <x:c r="AP13" s="30" t="n">
        <x:v>46229</x:v>
      </x:c>
      <x:c r="AQ13" s="30" t="n">
        <x:v>46229</x:v>
      </x:c>
    </x:row>
    <x:row r="14">
      <x:c r="A14" s="18" t="str">
        <x:v>BIZON-MODEL-DMA808</x:v>
      </x:c>
      <x:c r="B14" s="18" t="str">
        <x:v>BIZON</x:v>
      </x:c>
      <x:c r="C14" s="19" t="str">
        <x:v>DOUBLESTAR</x:v>
      </x:c>
      <x:c r="D14" s="18" t="str">
        <x:v>TBR</x:v>
      </x:c>
      <x:c r="E14" s="18" t="str">
        <x:v>DMA808</x:v>
      </x:c>
      <x:c r="F14" s="18" t="str">
        <x:v>BIZON DMA808</x:v>
      </x:c>
      <x:c r="G14" s="18" t="str">
        <x:v>BIZON DMA808</x:v>
      </x:c>
      <x:c r="H14" s="18" t="str">
        <x:v>dma808</x:v>
      </x:c>
      <x:c r="I14" s="18" t="str">
        <x:v>active</x:v>
      </x:c>
      <x:c r="J14" s="18" t="str">
        <x:v>draft</x:v>
      </x:c>
      <x:c r="K14" s="18" t="str">
        <x:v>tbr</x:v>
      </x:c>
      <x:c r="L14" s="28" t="b">
        <x:v>1</x:v>
      </x:c>
      <x:c r="M14" s="28" t="b">
        <x:v>1</x:v>
      </x:c>
      <x:c r="N14" s="28" t="b">
        <x:v>1</x:v>
      </x:c>
      <x:c r="O14" s="28" t="b">
        <x:v>0</x:v>
      </x:c>
      <x:c r="P14" s="28" t="b">
        <x:v>1</x:v>
      </x:c>
      <x:c r="Q14" s="28" t="b">
        <x:v>0</x:v>
      </x:c>
      <x:c r="R14" s="28" t="b">
        <x:v>0</x:v>
      </x:c>
      <x:c r="S14" s="28" t="b">
        <x:v>0</x:v>
      </x:c>
      <x:c r="T14" s="28" t="b">
        <x:v>0</x:v>
      </x:c>
      <x:c r="U14" s="19" t="str">
        <x:v>All position</x:v>
      </x:c>
      <x:c r="V14" s="18" t="str">
        <x:v>["regional"]</x:v>
      </x:c>
      <x:c r="W14" s="18" t="str">
        <x:v>["anti-tear","heavy-load","cut-resistance"]</x:v>
      </x:c>
      <x:c r="X14" s="18" t="str">
        <x:v>Грузовая шина BIZON DMA808 для региональной эксплуатации.</x:v>
      </x:c>
      <x:c r="Y14" s="18" t="str">
        <x:v>Модель BIZON DMA808. Позиция установки по каталогу: All position. Основные заявленные свойства: Стойкость к разрывам; Высокая грузоподъёмность; Стойкость к порезам.</x:v>
      </x:c>
      <x:c r="Z14" s="19" t="str">
        <x:v>Wide footprint enhances vehicle stability and even wear.</x:v>
      </x:c>
      <x:c r="AA14" s="18" t="str">
        <x:v>Стойкость к разрывам; Высокая грузоподъёмность; Стойкость к порезам</x:v>
      </x:c>
      <x:c r="AB14" s="18" t="str"/>
      <x:c r="AC14" s="18" t="str"/>
      <x:c r="AD14" s="19" t="str">
        <x:v>Русский текст является редакционным переводом и требует контент-проверки перед публикацией.</x:v>
      </x:c>
      <x:c r="AE14" s="18" t="str"/>
      <x:c r="AF14" s="18" t="str"/>
      <x:c r="AG14" s="18" t="str">
        <x:v>[]</x:v>
      </x:c>
      <x:c r="AH14" s="18" t="str"/>
      <x:c r="AI14" s="19" t="str"/>
      <x:c r="AJ14" s="19" t="str">
        <x:v>DOUBLESTAR COMBODIA TBR CATALOGUE.pdf</x:v>
      </x:c>
      <x:c r="AK14" s="19" t="n">
        <x:v>7</x:v>
      </x:c>
      <x:c r="AL14" s="19" t="str">
        <x:v>DMA808</x:v>
      </x:c>
      <x:c r="AM14" s="29" t="b">
        <x:v>1</x:v>
      </x:c>
      <x:c r="AN14" s="19" t="str">
        <x:v>verified</x:v>
      </x:c>
      <x:c r="AO14" s="19" t="str">
        <x:v>Код модели, позиция и пиктограммы сверены визуально; русский контент является редакционным переводом.</x:v>
      </x:c>
      <x:c r="AP14" s="30" t="n">
        <x:v>46229</x:v>
      </x:c>
      <x:c r="AQ14" s="30" t="n">
        <x:v>46229</x:v>
      </x:c>
    </x:row>
    <x:row r="15">
      <x:c r="A15" s="20" t="str">
        <x:v>BIZON-MODEL-DSRD22</x:v>
      </x:c>
      <x:c r="B15" s="20" t="str">
        <x:v>BIZON</x:v>
      </x:c>
      <x:c r="C15" s="19" t="str">
        <x:v>DOUBLESTAR</x:v>
      </x:c>
      <x:c r="D15" s="20" t="str">
        <x:v>TBR</x:v>
      </x:c>
      <x:c r="E15" s="20" t="str">
        <x:v>DSRD22</x:v>
      </x:c>
      <x:c r="F15" s="20" t="str">
        <x:v>BIZON DSRD22</x:v>
      </x:c>
      <x:c r="G15" s="20" t="str">
        <x:v>BIZON DSRD22</x:v>
      </x:c>
      <x:c r="H15" s="20" t="str">
        <x:v>dsrd22</x:v>
      </x:c>
      <x:c r="I15" s="20" t="str">
        <x:v>active</x:v>
      </x:c>
      <x:c r="J15" s="20" t="str">
        <x:v>draft</x:v>
      </x:c>
      <x:c r="K15" s="20" t="str">
        <x:v>tbr</x:v>
      </x:c>
      <x:c r="L15" s="31" t="b">
        <x:v>0</x:v>
      </x:c>
      <x:c r="M15" s="31" t="b">
        <x:v>1</x:v>
      </x:c>
      <x:c r="N15" s="31" t="b">
        <x:v>0</x:v>
      </x:c>
      <x:c r="O15" s="31" t="b">
        <x:v>0</x:v>
      </x:c>
      <x:c r="P15" s="31" t="b">
        <x:v>1</x:v>
      </x:c>
      <x:c r="Q15" s="31" t="b">
        <x:v>0</x:v>
      </x:c>
      <x:c r="R15" s="31" t="b">
        <x:v>0</x:v>
      </x:c>
      <x:c r="S15" s="31" t="b">
        <x:v>0</x:v>
      </x:c>
      <x:c r="T15" s="31" t="b">
        <x:v>0</x:v>
      </x:c>
      <x:c r="U15" s="19" t="str">
        <x:v>Drive</x:v>
      </x:c>
      <x:c r="V15" s="20" t="str">
        <x:v>["regional"]</x:v>
      </x:c>
      <x:c r="W15" s="20" t="str">
        <x:v>["economy","short-braking-distance","self-cleaning","low-rolling-resistance","stone-ejection"]</x:v>
      </x:c>
      <x:c r="X15" s="20" t="str">
        <x:v>Грузовая шина BIZON DSRD22 для региональной эксплуатации.</x:v>
      </x:c>
      <x:c r="Y15" s="20" t="str">
        <x:v>Модель BIZON DSRD22. Позиция установки по каталогу: Drive. Основные заявленные свойства: Экономичность; Короткий тормозной путь; Самоочищение; Низкое сопротивление качению; Удаление камней.</x:v>
      </x:c>
      <x:c r="Z15" s="19" t="str">
        <x:v>Big block pattern ensures excellent driving and stronger traction performance.</x:v>
      </x:c>
      <x:c r="AA15" s="20" t="str">
        <x:v>Экономичность; Короткий тормозной путь; Самоочищение; Низкое сопротивление качению; Удаление камней</x:v>
      </x:c>
      <x:c r="AB15" s="20" t="str"/>
      <x:c r="AC15" s="20" t="str"/>
      <x:c r="AD15" s="19" t="str">
        <x:v>Русский текст является редакционным переводом и требует контент-проверки перед публикацией.</x:v>
      </x:c>
      <x:c r="AE15" s="20" t="str"/>
      <x:c r="AF15" s="20" t="str"/>
      <x:c r="AG15" s="20" t="str">
        <x:v>[]</x:v>
      </x:c>
      <x:c r="AH15" s="20" t="str"/>
      <x:c r="AI15" s="19" t="str"/>
      <x:c r="AJ15" s="19" t="str">
        <x:v>DOUBLESTAR COMBODIA TBR CATALOGUE.pdf</x:v>
      </x:c>
      <x:c r="AK15" s="19" t="n">
        <x:v>7</x:v>
      </x:c>
      <x:c r="AL15" s="19" t="str">
        <x:v>DSRD22</x:v>
      </x:c>
      <x:c r="AM15" s="29" t="b">
        <x:v>1</x:v>
      </x:c>
      <x:c r="AN15" s="19" t="str">
        <x:v>verified</x:v>
      </x:c>
      <x:c r="AO15" s="19" t="str">
        <x:v>Код модели, позиция и пиктограммы сверены визуально; русский контент является редакционным переводом.</x:v>
      </x:c>
      <x:c r="AP15" s="30" t="n">
        <x:v>46229</x:v>
      </x:c>
      <x:c r="AQ15" s="30" t="n">
        <x:v>46229</x:v>
      </x:c>
    </x:row>
    <x:row r="16">
      <x:c r="A16" s="18" t="str">
        <x:v>BIZON-MODEL-D530</x:v>
      </x:c>
      <x:c r="B16" s="18" t="str">
        <x:v>BIZON</x:v>
      </x:c>
      <x:c r="C16" s="19" t="str">
        <x:v>DOUBLESTAR</x:v>
      </x:c>
      <x:c r="D16" s="18" t="str">
        <x:v>TBR</x:v>
      </x:c>
      <x:c r="E16" s="18" t="str">
        <x:v>D530</x:v>
      </x:c>
      <x:c r="F16" s="18" t="str">
        <x:v>BIZON D530</x:v>
      </x:c>
      <x:c r="G16" s="18" t="str">
        <x:v>BIZON D530</x:v>
      </x:c>
      <x:c r="H16" s="18" t="str">
        <x:v>d530</x:v>
      </x:c>
      <x:c r="I16" s="18" t="str">
        <x:v>active</x:v>
      </x:c>
      <x:c r="J16" s="18" t="str">
        <x:v>draft</x:v>
      </x:c>
      <x:c r="K16" s="18" t="str">
        <x:v>tbr</x:v>
      </x:c>
      <x:c r="L16" s="28" t="b">
        <x:v>1</x:v>
      </x:c>
      <x:c r="M16" s="28" t="b">
        <x:v>1</x:v>
      </x:c>
      <x:c r="N16" s="28" t="b">
        <x:v>1</x:v>
      </x:c>
      <x:c r="O16" s="28" t="b">
        <x:v>0</x:v>
      </x:c>
      <x:c r="P16" s="28" t="b">
        <x:v>1</x:v>
      </x:c>
      <x:c r="Q16" s="28" t="b">
        <x:v>0</x:v>
      </x:c>
      <x:c r="R16" s="28" t="b">
        <x:v>0</x:v>
      </x:c>
      <x:c r="S16" s="28" t="b">
        <x:v>0</x:v>
      </x:c>
      <x:c r="T16" s="28" t="b">
        <x:v>0</x:v>
      </x:c>
      <x:c r="U16" s="19" t="str">
        <x:v>All position</x:v>
      </x:c>
      <x:c r="V16" s="18" t="str">
        <x:v>["regional"]</x:v>
      </x:c>
      <x:c r="W16" s="18" t="str">
        <x:v>["high-mileage","anti-wear","heavy-load","heat-dissipation","stone-ejection"]</x:v>
      </x:c>
      <x:c r="X16" s="18" t="str">
        <x:v>Грузовая шина BIZON D530 для региональной эксплуатации.</x:v>
      </x:c>
      <x:c r="Y16" s="18" t="str">
        <x:v>Модель BIZON D530. Позиция установки по каталогу: All position. Основные заявленные свойства: Высокий пробег; Износостойкость; Высокая грузоподъёмность; Теплоотвод; Удаление камней.</x:v>
      </x:c>
      <x:c r="Z16" s="19" t="str">
        <x:v>Special formula design for medium to short distance mixed road surfaces considers low heat generation and good anti-stone ability.</x:v>
      </x:c>
      <x:c r="AA16" s="18" t="str">
        <x:v>Высокий пробег; Износостойкость; Высокая грузоподъёмность; Теплоотвод; Удаление камней</x:v>
      </x:c>
      <x:c r="AB16" s="18" t="str"/>
      <x:c r="AC16" s="18" t="str"/>
      <x:c r="AD16" s="19" t="str">
        <x:v>Русский текст является редакционным переводом и требует контент-проверки перед публикацией.</x:v>
      </x:c>
      <x:c r="AE16" s="18" t="str"/>
      <x:c r="AF16" s="18" t="str"/>
      <x:c r="AG16" s="18" t="str">
        <x:v>[]</x:v>
      </x:c>
      <x:c r="AH16" s="18" t="str"/>
      <x:c r="AI16" s="19" t="str"/>
      <x:c r="AJ16" s="19" t="str">
        <x:v>DOUBLESTAR COMBODIA TBR CATALOGUE.pdf</x:v>
      </x:c>
      <x:c r="AK16" s="19" t="n">
        <x:v>7</x:v>
      </x:c>
      <x:c r="AL16" s="19" t="str">
        <x:v>D530</x:v>
      </x:c>
      <x:c r="AM16" s="29" t="b">
        <x:v>1</x:v>
      </x:c>
      <x:c r="AN16" s="19" t="str">
        <x:v>verified</x:v>
      </x:c>
      <x:c r="AO16" s="19" t="str">
        <x:v>Код модели, позиция и пиктограммы сверены визуально; русский контент является редакционным переводом.</x:v>
      </x:c>
      <x:c r="AP16" s="30" t="n">
        <x:v>46229</x:v>
      </x:c>
      <x:c r="AQ16" s="30" t="n">
        <x:v>46229</x:v>
      </x:c>
    </x:row>
    <x:row r="17">
      <x:c r="A17" s="20" t="str">
        <x:v>BIZON-MODEL-FIO628</x:v>
      </x:c>
      <x:c r="B17" s="20" t="str">
        <x:v>BIZON</x:v>
      </x:c>
      <x:c r="C17" s="19" t="str">
        <x:v>DOUBLESTAR</x:v>
      </x:c>
      <x:c r="D17" s="20" t="str">
        <x:v>TBR</x:v>
      </x:c>
      <x:c r="E17" s="20" t="str">
        <x:v>FIO628</x:v>
      </x:c>
      <x:c r="F17" s="20" t="str">
        <x:v>BIZON FIO628</x:v>
      </x:c>
      <x:c r="G17" s="20" t="str">
        <x:v>BIZON FIO628</x:v>
      </x:c>
      <x:c r="H17" s="20" t="str">
        <x:v>fio628</x:v>
      </x:c>
      <x:c r="I17" s="20" t="str">
        <x:v>active</x:v>
      </x:c>
      <x:c r="J17" s="20" t="str">
        <x:v>draft</x:v>
      </x:c>
      <x:c r="K17" s="20" t="str">
        <x:v>tbr</x:v>
      </x:c>
      <x:c r="L17" s="31" t="b">
        <x:v>1</x:v>
      </x:c>
      <x:c r="M17" s="31" t="b">
        <x:v>1</x:v>
      </x:c>
      <x:c r="N17" s="31" t="b">
        <x:v>1</x:v>
      </x:c>
      <x:c r="O17" s="31" t="b">
        <x:v>0</x:v>
      </x:c>
      <x:c r="P17" s="31" t="b">
        <x:v>0</x:v>
      </x:c>
      <x:c r="Q17" s="31" t="b">
        <x:v>0</x:v>
      </x:c>
      <x:c r="R17" s="31" t="b">
        <x:v>1</x:v>
      </x:c>
      <x:c r="S17" s="31" t="b">
        <x:v>0</x:v>
      </x:c>
      <x:c r="T17" s="31" t="b">
        <x:v>0</x:v>
      </x:c>
      <x:c r="U17" s="19" t="str">
        <x:v>All position</x:v>
      </x:c>
      <x:c r="V17" s="20" t="str">
        <x:v>["off-road"]</x:v>
      </x:c>
      <x:c r="W17" s="20" t="str">
        <x:v>["anti-tear","anti-wear","handling","puncture-resistance","cut-resistance"]</x:v>
      </x:c>
      <x:c r="X17" s="20" t="str">
        <x:v>Грузовая шина BIZON FIO628 для внедорожной эксплуатации.</x:v>
      </x:c>
      <x:c r="Y17" s="20" t="str">
        <x:v>Модель BIZON FIO628. Позиция установки по каталогу: All position. Основные заявленные свойства: Стойкость к разрывам; Износостойкость; Управляемость; Стойкость к проколам; Стойкость к порезам.</x:v>
      </x:c>
      <x:c r="Z17" s="19" t="str">
        <x:v>Big block pattern is specially designed for mining road, providing better driving and grip performance with low heat generation.</x:v>
      </x:c>
      <x:c r="AA17" s="20" t="str">
        <x:v>Стойкость к разрывам; Износостойкость; Управляемость; Стойкость к проколам; Стойкость к порезам</x:v>
      </x:c>
      <x:c r="AB17" s="20" t="str"/>
      <x:c r="AC17" s="20" t="str"/>
      <x:c r="AD17" s="19" t="str">
        <x:v>Русский текст является редакционным переводом и требует контент-проверки перед публикацией.</x:v>
      </x:c>
      <x:c r="AE17" s="20" t="str"/>
      <x:c r="AF17" s="20" t="str"/>
      <x:c r="AG17" s="20" t="str">
        <x:v>[]</x:v>
      </x:c>
      <x:c r="AH17" s="20" t="str"/>
      <x:c r="AI17" s="19" t="str"/>
      <x:c r="AJ17" s="19" t="str">
        <x:v>DOUBLESTAR COMBODIA TBR CATALOGUE.pdf</x:v>
      </x:c>
      <x:c r="AK17" s="19" t="n">
        <x:v>7</x:v>
      </x:c>
      <x:c r="AL17" s="19" t="str">
        <x:v>FIO628</x:v>
      </x:c>
      <x:c r="AM17" s="29" t="b">
        <x:v>1</x:v>
      </x:c>
      <x:c r="AN17" s="19" t="str">
        <x:v>verified</x:v>
      </x:c>
      <x:c r="AO17" s="19" t="str">
        <x:v>Код модели, позиция и пиктограммы сверены визуально; русский контент является редакционным переводом.</x:v>
      </x:c>
      <x:c r="AP17" s="30" t="n">
        <x:v>46229</x:v>
      </x:c>
      <x:c r="AQ17" s="30" t="n">
        <x:v>46229</x:v>
      </x:c>
    </x:row>
    <x:row r="18">
      <x:c r="A18" s="18" t="str">
        <x:v>BIZON-MODEL-DMA100</x:v>
      </x:c>
      <x:c r="B18" s="18" t="str">
        <x:v>BIZON</x:v>
      </x:c>
      <x:c r="C18" s="19" t="str">
        <x:v>DOUBLESTAR</x:v>
      </x:c>
      <x:c r="D18" s="18" t="str">
        <x:v>TBR</x:v>
      </x:c>
      <x:c r="E18" s="18" t="str">
        <x:v>DMA100</x:v>
      </x:c>
      <x:c r="F18" s="18" t="str">
        <x:v>BIZON DMA100</x:v>
      </x:c>
      <x:c r="G18" s="18" t="str">
        <x:v>BIZON DMA100</x:v>
      </x:c>
      <x:c r="H18" s="18" t="str">
        <x:v>dma100</x:v>
      </x:c>
      <x:c r="I18" s="18" t="str">
        <x:v>active</x:v>
      </x:c>
      <x:c r="J18" s="18" t="str">
        <x:v>draft</x:v>
      </x:c>
      <x:c r="K18" s="18" t="str">
        <x:v>tbr</x:v>
      </x:c>
      <x:c r="L18" s="28" t="b">
        <x:v>1</x:v>
      </x:c>
      <x:c r="M18" s="28" t="b">
        <x:v>1</x:v>
      </x:c>
      <x:c r="N18" s="28" t="b">
        <x:v>1</x:v>
      </x:c>
      <x:c r="O18" s="28" t="b">
        <x:v>0</x:v>
      </x:c>
      <x:c r="P18" s="28" t="b">
        <x:v>1</x:v>
      </x:c>
      <x:c r="Q18" s="28" t="b">
        <x:v>0</x:v>
      </x:c>
      <x:c r="R18" s="28" t="b">
        <x:v>0</x:v>
      </x:c>
      <x:c r="S18" s="28" t="b">
        <x:v>0</x:v>
      </x:c>
      <x:c r="T18" s="28" t="b">
        <x:v>0</x:v>
      </x:c>
      <x:c r="U18" s="19" t="str">
        <x:v>All position</x:v>
      </x:c>
      <x:c r="V18" s="18" t="str">
        <x:v>["regional"]</x:v>
      </x:c>
      <x:c r="W18" s="18" t="str">
        <x:v>["anti-wear","high-mileage","handling"]</x:v>
      </x:c>
      <x:c r="X18" s="18" t="str">
        <x:v>Грузовая шина BIZON DMA100 для региональной эксплуатации.</x:v>
      </x:c>
      <x:c r="Y18" s="18" t="str">
        <x:v>Модель BIZON DMA100. Позиция установки по каталогу: All position. Основные заявленные свойства: Износостойкость; Высокий пробег; Управляемость.</x:v>
      </x:c>
      <x:c r="Z18" s="19" t="str">
        <x:v>Extra-wide tread blocks ensure ultra high mileage and driving stability.</x:v>
      </x:c>
      <x:c r="AA18" s="18" t="str">
        <x:v>Износостойкость; Высокий пробег; Управляемость</x:v>
      </x:c>
      <x:c r="AB18" s="18" t="str"/>
      <x:c r="AC18" s="18" t="str"/>
      <x:c r="AD18" s="19" t="str">
        <x:v>Русский текст является редакционным переводом и требует контент-проверки перед публикацией.</x:v>
      </x:c>
      <x:c r="AE18" s="18" t="str"/>
      <x:c r="AF18" s="18" t="str"/>
      <x:c r="AG18" s="18" t="str">
        <x:v>[]</x:v>
      </x:c>
      <x:c r="AH18" s="18" t="str"/>
      <x:c r="AI18" s="19" t="str"/>
      <x:c r="AJ18" s="19" t="str">
        <x:v>DOUBLESTAR COMBODIA TBR CATALOGUE.pdf</x:v>
      </x:c>
      <x:c r="AK18" s="19" t="n">
        <x:v>8</x:v>
      </x:c>
      <x:c r="AL18" s="19" t="str">
        <x:v>DMA100</x:v>
      </x:c>
      <x:c r="AM18" s="29" t="b">
        <x:v>1</x:v>
      </x:c>
      <x:c r="AN18" s="19" t="str">
        <x:v>verified</x:v>
      </x:c>
      <x:c r="AO18" s="19" t="str">
        <x:v>Код модели, позиция и пиктограммы сверены визуально; русский контент является редакционным переводом.</x:v>
      </x:c>
      <x:c r="AP18" s="30" t="n">
        <x:v>46229</x:v>
      </x:c>
      <x:c r="AQ18" s="30" t="n">
        <x:v>46229</x:v>
      </x:c>
    </x:row>
    <x:row r="19">
      <x:c r="A19" s="20" t="str">
        <x:v>BIZON-MODEL-DMA805</x:v>
      </x:c>
      <x:c r="B19" s="20" t="str">
        <x:v>BIZON</x:v>
      </x:c>
      <x:c r="C19" s="19" t="str">
        <x:v>DOUBLESTAR</x:v>
      </x:c>
      <x:c r="D19" s="20" t="str">
        <x:v>TBR</x:v>
      </x:c>
      <x:c r="E19" s="20" t="str">
        <x:v>DMA805</x:v>
      </x:c>
      <x:c r="F19" s="20" t="str">
        <x:v>BIZON DMA805</x:v>
      </x:c>
      <x:c r="G19" s="20" t="str">
        <x:v>BIZON DMA805</x:v>
      </x:c>
      <x:c r="H19" s="20" t="str">
        <x:v>dma805</x:v>
      </x:c>
      <x:c r="I19" s="20" t="str">
        <x:v>active</x:v>
      </x:c>
      <x:c r="J19" s="20" t="str">
        <x:v>draft</x:v>
      </x:c>
      <x:c r="K19" s="20" t="str">
        <x:v>tbr</x:v>
      </x:c>
      <x:c r="L19" s="31" t="b">
        <x:v>0</x:v>
      </x:c>
      <x:c r="M19" s="31" t="b">
        <x:v>1</x:v>
      </x:c>
      <x:c r="N19" s="31" t="b">
        <x:v>1</x:v>
      </x:c>
      <x:c r="O19" s="31" t="b">
        <x:v>0</x:v>
      </x:c>
      <x:c r="P19" s="31" t="b">
        <x:v>1</x:v>
      </x:c>
      <x:c r="Q19" s="31" t="b">
        <x:v>1</x:v>
      </x:c>
      <x:c r="R19" s="31" t="b">
        <x:v>0</x:v>
      </x:c>
      <x:c r="S19" s="31" t="b">
        <x:v>0</x:v>
      </x:c>
      <x:c r="T19" s="31" t="b">
        <x:v>0</x:v>
      </x:c>
      <x:c r="U19" s="19" t="str">
        <x:v>Drive and trailer</x:v>
      </x:c>
      <x:c r="V19" s="20" t="str">
        <x:v>["regional","urban"]</x:v>
      </x:c>
      <x:c r="W19" s="20" t="str">
        <x:v>["anti-tear","heavy-load","retreadability","stone-ejection","cut-resistance"]</x:v>
      </x:c>
      <x:c r="X19" s="20" t="str">
        <x:v>Грузовая шина BIZON DMA805 для региональной и городской эксплуатации.</x:v>
      </x:c>
      <x:c r="Y19" s="20" t="str">
        <x:v>Модель BIZON DMA805. Позиция установки по каталогу: Drive and trailer. Основные заявленные свойства: Стойкость к разрывам; Высокая грузоподъёмность; Восстанавливаемость; Удаление камней; Стойкость к порезам.</x:v>
      </x:c>
      <x:c r="Z19" s="19" t="str">
        <x:v>Wide-base design provides higher payload and flotation while maintaining grip and traction.</x:v>
      </x:c>
      <x:c r="AA19" s="20" t="str">
        <x:v>Стойкость к разрывам; Высокая грузоподъёмность; Восстанавливаемость; Удаление камней; Стойкость к порезам</x:v>
      </x:c>
      <x:c r="AB19" s="20" t="str"/>
      <x:c r="AC19" s="20" t="str"/>
      <x:c r="AD19" s="19" t="str">
        <x:v>Русский текст является редакционным переводом и требует контент-проверки перед публикацией.</x:v>
      </x:c>
      <x:c r="AE19" s="20" t="str"/>
      <x:c r="AF19" s="20" t="str"/>
      <x:c r="AG19" s="20" t="str">
        <x:v>[]</x:v>
      </x:c>
      <x:c r="AH19" s="20" t="str"/>
      <x:c r="AI19" s="19" t="str"/>
      <x:c r="AJ19" s="19" t="str">
        <x:v>DOUBLESTAR COMBODIA TBR CATALOGUE.pdf</x:v>
      </x:c>
      <x:c r="AK19" s="19" t="n">
        <x:v>8</x:v>
      </x:c>
      <x:c r="AL19" s="19" t="str">
        <x:v>DMA805</x:v>
      </x:c>
      <x:c r="AM19" s="29" t="b">
        <x:v>1</x:v>
      </x:c>
      <x:c r="AN19" s="19" t="str">
        <x:v>verified</x:v>
      </x:c>
      <x:c r="AO19" s="19" t="str">
        <x:v>Код модели, позиция и пиктограммы сверены визуально; русский контент является редакционным переводом.</x:v>
      </x:c>
      <x:c r="AP19" s="30" t="n">
        <x:v>46229</x:v>
      </x:c>
      <x:c r="AQ19" s="30" t="n">
        <x:v>46229</x:v>
      </x:c>
    </x:row>
    <x:row r="20">
      <x:c r="A20" s="18" t="str">
        <x:v>BIZON-MODEL-DSR177</x:v>
      </x:c>
      <x:c r="B20" s="18" t="str">
        <x:v>BIZON</x:v>
      </x:c>
      <x:c r="C20" s="19" t="str">
        <x:v>DOUBLESTAR</x:v>
      </x:c>
      <x:c r="D20" s="18" t="str">
        <x:v>TBR</x:v>
      </x:c>
      <x:c r="E20" s="18" t="str">
        <x:v>DSR177</x:v>
      </x:c>
      <x:c r="F20" s="18" t="str">
        <x:v>BIZON DSR177</x:v>
      </x:c>
      <x:c r="G20" s="18" t="str">
        <x:v>BIZON DSR177</x:v>
      </x:c>
      <x:c r="H20" s="18" t="str">
        <x:v>dsr177</x:v>
      </x:c>
      <x:c r="I20" s="18" t="str">
        <x:v>active</x:v>
      </x:c>
      <x:c r="J20" s="18" t="str">
        <x:v>draft</x:v>
      </x:c>
      <x:c r="K20" s="18" t="str">
        <x:v>tbr</x:v>
      </x:c>
      <x:c r="L20" s="28" t="b">
        <x:v>1</x:v>
      </x:c>
      <x:c r="M20" s="28" t="b">
        <x:v>1</x:v>
      </x:c>
      <x:c r="N20" s="28" t="b">
        <x:v>1</x:v>
      </x:c>
      <x:c r="O20" s="28" t="b">
        <x:v>0</x:v>
      </x:c>
      <x:c r="P20" s="28" t="b">
        <x:v>0</x:v>
      </x:c>
      <x:c r="Q20" s="28" t="b">
        <x:v>0</x:v>
      </x:c>
      <x:c r="R20" s="28" t="b">
        <x:v>1</x:v>
      </x:c>
      <x:c r="S20" s="28" t="b">
        <x:v>0</x:v>
      </x:c>
      <x:c r="T20" s="28" t="b">
        <x:v>0</x:v>
      </x:c>
      <x:c r="U20" s="19" t="str">
        <x:v>All position</x:v>
      </x:c>
      <x:c r="V20" s="18" t="str">
        <x:v>["off-road"]</x:v>
      </x:c>
      <x:c r="W20" s="18" t="str">
        <x:v>["anti-tear","heavy-load","heat-dissipation"]</x:v>
      </x:c>
      <x:c r="X20" s="18" t="str">
        <x:v>Грузовая шина BIZON DSR177 для внедорожной эксплуатации.</x:v>
      </x:c>
      <x:c r="Y20" s="18" t="str">
        <x:v>Модель BIZON DSR177. Позиция установки по каталогу: All position. Основные заявленные свойства: Стойкость к разрывам; Высокая грузоподъёмность; Теплоотвод.</x:v>
      </x:c>
      <x:c r="Z20" s="19" t="str">
        <x:v>Big block deeper pattern is specially designed for mining road, making the tread more stronger.</x:v>
      </x:c>
      <x:c r="AA20" s="18" t="str">
        <x:v>Стойкость к разрывам; Высокая грузоподъёмность; Теплоотвод</x:v>
      </x:c>
      <x:c r="AB20" s="18" t="str"/>
      <x:c r="AC20" s="18" t="str"/>
      <x:c r="AD20" s="19" t="str">
        <x:v>Русский текст является редакционным переводом и требует контент-проверки перед публикацией.</x:v>
      </x:c>
      <x:c r="AE20" s="18" t="str"/>
      <x:c r="AF20" s="18" t="str"/>
      <x:c r="AG20" s="18" t="str">
        <x:v>[]</x:v>
      </x:c>
      <x:c r="AH20" s="18" t="str"/>
      <x:c r="AI20" s="19" t="str"/>
      <x:c r="AJ20" s="19" t="str">
        <x:v>DOUBLESTAR COMBODIA TBR CATALOGUE.pdf</x:v>
      </x:c>
      <x:c r="AK20" s="19" t="n">
        <x:v>8</x:v>
      </x:c>
      <x:c r="AL20" s="19" t="str">
        <x:v>DSR177</x:v>
      </x:c>
      <x:c r="AM20" s="29" t="b">
        <x:v>1</x:v>
      </x:c>
      <x:c r="AN20" s="19" t="str">
        <x:v>verified</x:v>
      </x:c>
      <x:c r="AO20" s="19" t="str">
        <x:v>Код модели, позиция и пиктограммы сверены визуально; русский контент является редакционным переводом.</x:v>
      </x:c>
      <x:c r="AP20" s="30" t="n">
        <x:v>46229</x:v>
      </x:c>
      <x:c r="AQ20" s="30" t="n">
        <x:v>46229</x:v>
      </x:c>
    </x:row>
    <x:row r="21">
      <x:c r="A21" s="20" t="str">
        <x:v>BIZON-MODEL-DSR830</x:v>
      </x:c>
      <x:c r="B21" s="20" t="str">
        <x:v>BIZON</x:v>
      </x:c>
      <x:c r="C21" s="19" t="str">
        <x:v>DOUBLESTAR</x:v>
      </x:c>
      <x:c r="D21" s="20" t="str">
        <x:v>TBR</x:v>
      </x:c>
      <x:c r="E21" s="20" t="str">
        <x:v>DSR830</x:v>
      </x:c>
      <x:c r="F21" s="20" t="str">
        <x:v>BIZON DSR830</x:v>
      </x:c>
      <x:c r="G21" s="20" t="str">
        <x:v>BIZON DSR830</x:v>
      </x:c>
      <x:c r="H21" s="20" t="str">
        <x:v>dsr830</x:v>
      </x:c>
      <x:c r="I21" s="20" t="str">
        <x:v>active</x:v>
      </x:c>
      <x:c r="J21" s="20" t="str">
        <x:v>draft</x:v>
      </x:c>
      <x:c r="K21" s="20" t="str">
        <x:v>tbr</x:v>
      </x:c>
      <x:c r="L21" s="31" t="b">
        <x:v>1</x:v>
      </x:c>
      <x:c r="M21" s="31" t="b">
        <x:v>1</x:v>
      </x:c>
      <x:c r="N21" s="31" t="b">
        <x:v>1</x:v>
      </x:c>
      <x:c r="O21" s="31" t="b">
        <x:v>0</x:v>
      </x:c>
      <x:c r="P21" s="31" t="b">
        <x:v>0</x:v>
      </x:c>
      <x:c r="Q21" s="31" t="b">
        <x:v>0</x:v>
      </x:c>
      <x:c r="R21" s="31" t="b">
        <x:v>1</x:v>
      </x:c>
      <x:c r="S21" s="31" t="b">
        <x:v>0</x:v>
      </x:c>
      <x:c r="T21" s="31" t="b">
        <x:v>0</x:v>
      </x:c>
      <x:c r="U21" s="19" t="str">
        <x:v>All position</x:v>
      </x:c>
      <x:c r="V21" s="20" t="str">
        <x:v>["off-road"]</x:v>
      </x:c>
      <x:c r="W21" s="20" t="str">
        <x:v>["anti-tear","anti-wear","handling","puncture-resistance"]</x:v>
      </x:c>
      <x:c r="X21" s="20" t="str">
        <x:v>Грузовая шина BIZON DSR830 для внедорожной эксплуатации.</x:v>
      </x:c>
      <x:c r="Y21" s="20" t="str">
        <x:v>Модель BIZON DSR830. Позиция установки по каталогу: All position. Основные заявленные свойства: Стойкость к разрывам; Износостойкость; Управляемость; Стойкость к проколам.</x:v>
      </x:c>
      <x:c r="Z21" s="19" t="str">
        <x:v>Big block pattern is specially designed for mining road, providing better driving and grip performance with low heat generation.</x:v>
      </x:c>
      <x:c r="AA21" s="20" t="str">
        <x:v>Стойкость к разрывам; Износостойкость; Управляемость; Стойкость к проколам</x:v>
      </x:c>
      <x:c r="AB21" s="20" t="str"/>
      <x:c r="AC21" s="20" t="str"/>
      <x:c r="AD21" s="19" t="str">
        <x:v>Русский текст является редакционным переводом и требует контент-проверки перед публикацией.</x:v>
      </x:c>
      <x:c r="AE21" s="20" t="str"/>
      <x:c r="AF21" s="20" t="str"/>
      <x:c r="AG21" s="20" t="str">
        <x:v>[]</x:v>
      </x:c>
      <x:c r="AH21" s="20" t="str"/>
      <x:c r="AI21" s="19" t="str"/>
      <x:c r="AJ21" s="19" t="str">
        <x:v>DOUBLESTAR COMBODIA TBR CATALOGUE.pdf</x:v>
      </x:c>
      <x:c r="AK21" s="19" t="n">
        <x:v>8</x:v>
      </x:c>
      <x:c r="AL21" s="19" t="str">
        <x:v>DSR830</x:v>
      </x:c>
      <x:c r="AM21" s="29" t="b">
        <x:v>1</x:v>
      </x:c>
      <x:c r="AN21" s="19" t="str">
        <x:v>verified</x:v>
      </x:c>
      <x:c r="AO21" s="19" t="str">
        <x:v>Код модели, позиция и пиктограммы сверены визуально; русский контент является редакционным переводом.</x:v>
      </x:c>
      <x:c r="AP21" s="30" t="n">
        <x:v>46229</x:v>
      </x:c>
      <x:c r="AQ21" s="30" t="n">
        <x:v>46229</x:v>
      </x:c>
    </x:row>
    <x:row r="22">
      <x:c r="A22" s="18" t="str">
        <x:v>BIZON-MODEL-DSR158</x:v>
      </x:c>
      <x:c r="B22" s="18" t="str">
        <x:v>BIZON</x:v>
      </x:c>
      <x:c r="C22" s="19" t="str">
        <x:v>DOUBLESTAR</x:v>
      </x:c>
      <x:c r="D22" s="18" t="str">
        <x:v>TBR</x:v>
      </x:c>
      <x:c r="E22" s="18" t="str">
        <x:v>DSR158</x:v>
      </x:c>
      <x:c r="F22" s="18" t="str">
        <x:v>BIZON DSR158</x:v>
      </x:c>
      <x:c r="G22" s="18" t="str">
        <x:v>BIZON DSR158</x:v>
      </x:c>
      <x:c r="H22" s="18" t="str">
        <x:v>dsr158</x:v>
      </x:c>
      <x:c r="I22" s="18" t="str">
        <x:v>active</x:v>
      </x:c>
      <x:c r="J22" s="18" t="str">
        <x:v>draft</x:v>
      </x:c>
      <x:c r="K22" s="18" t="str">
        <x:v>tbr</x:v>
      </x:c>
      <x:c r="L22" s="28" t="b">
        <x:v>0</x:v>
      </x:c>
      <x:c r="M22" s="28" t="b">
        <x:v>1</x:v>
      </x:c>
      <x:c r="N22" s="28" t="b">
        <x:v>0</x:v>
      </x:c>
      <x:c r="O22" s="28" t="b">
        <x:v>1</x:v>
      </x:c>
      <x:c r="P22" s="28" t="b">
        <x:v>0</x:v>
      </x:c>
      <x:c r="Q22" s="28" t="b">
        <x:v>0</x:v>
      </x:c>
      <x:c r="R22" s="28" t="b">
        <x:v>0</x:v>
      </x:c>
      <x:c r="S22" s="28" t="b">
        <x:v>0</x:v>
      </x:c>
      <x:c r="T22" s="28" t="b">
        <x:v>0</x:v>
      </x:c>
      <x:c r="U22" s="19" t="str">
        <x:v>Drive</x:v>
      </x:c>
      <x:c r="V22" s="18" t="str">
        <x:v>["long-haul"]</x:v>
      </x:c>
      <x:c r="W22" s="18" t="str">
        <x:v>["heavy-load","self-cleaning","anti-tear","stone-ejection"]</x:v>
      </x:c>
      <x:c r="X22" s="18" t="str">
        <x:v>Грузовая шина BIZON DSR158 для магистральной эксплуатации.</x:v>
      </x:c>
      <x:c r="Y22" s="18" t="str">
        <x:v>Модель BIZON DSR158. Позиция установки по каталогу: Drive. Основные заявленные свойства: Высокая грузоподъёмность; Самоочищение; Стойкость к разрывам; Удаление камней.</x:v>
      </x:c>
      <x:c r="Z22" s="19" t="str">
        <x:v>Strengthened bead design and improved steel wire strength increase loading performance.</x:v>
      </x:c>
      <x:c r="AA22" s="18" t="str">
        <x:v>Высокая грузоподъёмность; Самоочищение; Стойкость к разрывам; Удаление камней</x:v>
      </x:c>
      <x:c r="AB22" s="18" t="str"/>
      <x:c r="AC22" s="18" t="str"/>
      <x:c r="AD22" s="19" t="str">
        <x:v>Русский текст является редакционным переводом и требует контент-проверки перед публикацией.</x:v>
      </x:c>
      <x:c r="AE22" s="18" t="str"/>
      <x:c r="AF22" s="18" t="str"/>
      <x:c r="AG22" s="18" t="str">
        <x:v>[]</x:v>
      </x:c>
      <x:c r="AH22" s="18" t="str"/>
      <x:c r="AI22" s="19" t="str"/>
      <x:c r="AJ22" s="19" t="str">
        <x:v>DOUBLESTAR COMBODIA TBR CATALOGUE.pdf</x:v>
      </x:c>
      <x:c r="AK22" s="19" t="n">
        <x:v>9</x:v>
      </x:c>
      <x:c r="AL22" s="19" t="str">
        <x:v>DSR158</x:v>
      </x:c>
      <x:c r="AM22" s="29" t="b">
        <x:v>1</x:v>
      </x:c>
      <x:c r="AN22" s="19" t="str">
        <x:v>verified</x:v>
      </x:c>
      <x:c r="AO22" s="19" t="str">
        <x:v>Код модели, позиция и пиктограммы сверены визуально; русский контент является редакционным переводом.</x:v>
      </x:c>
      <x:c r="AP22" s="30" t="n">
        <x:v>46229</x:v>
      </x:c>
      <x:c r="AQ22" s="30" t="n">
        <x:v>46229</x:v>
      </x:c>
    </x:row>
    <x:row r="23">
      <x:c r="A23" s="20" t="str">
        <x:v>BIZON-MODEL-DSR188</x:v>
      </x:c>
      <x:c r="B23" s="20" t="str">
        <x:v>BIZON</x:v>
      </x:c>
      <x:c r="C23" s="19" t="str">
        <x:v>DOUBLESTAR</x:v>
      </x:c>
      <x:c r="D23" s="20" t="str">
        <x:v>TBR</x:v>
      </x:c>
      <x:c r="E23" s="20" t="str">
        <x:v>DSR188</x:v>
      </x:c>
      <x:c r="F23" s="20" t="str">
        <x:v>BIZON DSR188</x:v>
      </x:c>
      <x:c r="G23" s="20" t="str">
        <x:v>BIZON DSR188</x:v>
      </x:c>
      <x:c r="H23" s="20" t="str">
        <x:v>dsr188</x:v>
      </x:c>
      <x:c r="I23" s="20" t="str">
        <x:v>active</x:v>
      </x:c>
      <x:c r="J23" s="20" t="str">
        <x:v>draft</x:v>
      </x:c>
      <x:c r="K23" s="20" t="str">
        <x:v>tbr</x:v>
      </x:c>
      <x:c r="L23" s="31" t="b">
        <x:v>1</x:v>
      </x:c>
      <x:c r="M23" s="31" t="b">
        <x:v>1</x:v>
      </x:c>
      <x:c r="N23" s="31" t="b">
        <x:v>1</x:v>
      </x:c>
      <x:c r="O23" s="31" t="b">
        <x:v>0</x:v>
      </x:c>
      <x:c r="P23" s="31" t="b">
        <x:v>1</x:v>
      </x:c>
      <x:c r="Q23" s="31" t="b">
        <x:v>0</x:v>
      </x:c>
      <x:c r="R23" s="31" t="b">
        <x:v>0</x:v>
      </x:c>
      <x:c r="S23" s="31" t="b">
        <x:v>0</x:v>
      </x:c>
      <x:c r="T23" s="31" t="b">
        <x:v>0</x:v>
      </x:c>
      <x:c r="U23" s="19" t="str">
        <x:v>All position</x:v>
      </x:c>
      <x:c r="V23" s="20" t="str">
        <x:v>["regional"]</x:v>
      </x:c>
      <x:c r="W23" s="20" t="str">
        <x:v>["anti-wear","economy","heavy-load","heat-dissipation"]</x:v>
      </x:c>
      <x:c r="X23" s="20" t="str">
        <x:v>Грузовая шина BIZON DSR188 для региональной эксплуатации.</x:v>
      </x:c>
      <x:c r="Y23" s="20" t="str">
        <x:v>Модель BIZON DSR188. Позиция установки по каталогу: All position. Основные заявленные свойства: Износостойкость; Экономичность; Высокая грузоподъёмность; Теплоотвод.</x:v>
      </x:c>
      <x:c r="Z23" s="19" t="str">
        <x:v>High-strength steel cords improve loading capability.</x:v>
      </x:c>
      <x:c r="AA23" s="20" t="str">
        <x:v>Износостойкость; Экономичность; Высокая грузоподъёмность; Теплоотвод</x:v>
      </x:c>
      <x:c r="AB23" s="20" t="str"/>
      <x:c r="AC23" s="20" t="str"/>
      <x:c r="AD23" s="19" t="str">
        <x:v>Русский текст является редакционным переводом и требует контент-проверки перед публикацией.</x:v>
      </x:c>
      <x:c r="AE23" s="20" t="str"/>
      <x:c r="AF23" s="20" t="str"/>
      <x:c r="AG23" s="20" t="str">
        <x:v>[]</x:v>
      </x:c>
      <x:c r="AH23" s="20" t="str"/>
      <x:c r="AI23" s="19" t="str"/>
      <x:c r="AJ23" s="19" t="str">
        <x:v>DOUBLESTAR COMBODIA TBR CATALOGUE.pdf</x:v>
      </x:c>
      <x:c r="AK23" s="19" t="n">
        <x:v>9</x:v>
      </x:c>
      <x:c r="AL23" s="19" t="str">
        <x:v>DSR188</x:v>
      </x:c>
      <x:c r="AM23" s="29" t="b">
        <x:v>1</x:v>
      </x:c>
      <x:c r="AN23" s="19" t="str">
        <x:v>verified</x:v>
      </x:c>
      <x:c r="AO23" s="19" t="str">
        <x:v>Код модели, позиция и пиктограммы сверены визуально; русский контент является редакционным переводом.</x:v>
      </x:c>
      <x:c r="AP23" s="30" t="n">
        <x:v>46229</x:v>
      </x:c>
      <x:c r="AQ23" s="30" t="n">
        <x:v>46229</x:v>
      </x:c>
    </x:row>
    <x:row r="24">
      <x:c r="A24" s="18" t="str">
        <x:v>BIZON-MODEL-TAX106</x:v>
      </x:c>
      <x:c r="B24" s="18" t="str">
        <x:v>BIZON</x:v>
      </x:c>
      <x:c r="C24" s="19" t="str">
        <x:v>DOUBLESTAR</x:v>
      </x:c>
      <x:c r="D24" s="18" t="str">
        <x:v>TBR</x:v>
      </x:c>
      <x:c r="E24" s="18" t="str">
        <x:v>TAX106</x:v>
      </x:c>
      <x:c r="F24" s="18" t="str">
        <x:v>BIZON TAX106</x:v>
      </x:c>
      <x:c r="G24" s="18" t="str">
        <x:v>BIZON TAX106</x:v>
      </x:c>
      <x:c r="H24" s="18" t="str">
        <x:v>tax106</x:v>
      </x:c>
      <x:c r="I24" s="18" t="str">
        <x:v>active</x:v>
      </x:c>
      <x:c r="J24" s="18" t="str">
        <x:v>draft</x:v>
      </x:c>
      <x:c r="K24" s="18" t="str">
        <x:v>tbr</x:v>
      </x:c>
      <x:c r="L24" s="28" t="b">
        <x:v>0</x:v>
      </x:c>
      <x:c r="M24" s="28" t="b">
        <x:v>1</x:v>
      </x:c>
      <x:c r="N24" s="28" t="b">
        <x:v>1</x:v>
      </x:c>
      <x:c r="O24" s="28" t="b">
        <x:v>1</x:v>
      </x:c>
      <x:c r="P24" s="28" t="b">
        <x:v>0</x:v>
      </x:c>
      <x:c r="Q24" s="28" t="b">
        <x:v>1</x:v>
      </x:c>
      <x:c r="R24" s="28" t="b">
        <x:v>0</x:v>
      </x:c>
      <x:c r="S24" s="28" t="b">
        <x:v>0</x:v>
      </x:c>
      <x:c r="T24" s="28" t="b">
        <x:v>0</x:v>
      </x:c>
      <x:c r="U24" s="19" t="str">
        <x:v>Drive and trailer</x:v>
      </x:c>
      <x:c r="V24" s="18" t="str">
        <x:v>["long-haul","urban"]</x:v>
      </x:c>
      <x:c r="W24" s="18" t="str">
        <x:v>["low-noise","anti-wear","economy","safety"]</x:v>
      </x:c>
      <x:c r="X24" s="18" t="str">
        <x:v>Грузовая шина BIZON TAX106 для магистральной и городской эксплуатации.</x:v>
      </x:c>
      <x:c r="Y24" s="18" t="str">
        <x:v>Модель BIZON TAX106. Позиция установки по каталогу: Drive and trailer. Основные заявленные свойства: Низкий уровень шума; Износостойкость; Экономичность; Безопасность.</x:v>
      </x:c>
      <x:c r="Z24" s="19" t="str">
        <x:v>Optimizing the pattern pitch distribution reduces noise to 73 dB for more comfortable driving.</x:v>
      </x:c>
      <x:c r="AA24" s="18" t="str">
        <x:v>Низкий уровень шума; Износостойкость; Экономичность; Безопасность</x:v>
      </x:c>
      <x:c r="AB24" s="18" t="str"/>
      <x:c r="AC24" s="18" t="str"/>
      <x:c r="AD24" s="19" t="str">
        <x:v>Русский текст является редакционным переводом и требует контент-проверки перед публикацией.</x:v>
      </x:c>
      <x:c r="AE24" s="18" t="str"/>
      <x:c r="AF24" s="18" t="str"/>
      <x:c r="AG24" s="18" t="str">
        <x:v>[]</x:v>
      </x:c>
      <x:c r="AH24" s="18" t="str"/>
      <x:c r="AI24" s="19" t="str"/>
      <x:c r="AJ24" s="19" t="str">
        <x:v>DOUBLESTAR COMBODIA TBR CATALOGUE.pdf</x:v>
      </x:c>
      <x:c r="AK24" s="19" t="n">
        <x:v>9</x:v>
      </x:c>
      <x:c r="AL24" s="19" t="str">
        <x:v>TAX106</x:v>
      </x:c>
      <x:c r="AM24" s="29" t="b">
        <x:v>1</x:v>
      </x:c>
      <x:c r="AN24" s="19" t="str">
        <x:v>verified</x:v>
      </x:c>
      <x:c r="AO24" s="19" t="str">
        <x:v>Код модели, позиция и пиктограммы сверены визуально; русский контент является редакционным переводом.</x:v>
      </x:c>
      <x:c r="AP24" s="30" t="n">
        <x:v>46229</x:v>
      </x:c>
      <x:c r="AQ24" s="30" t="n">
        <x:v>46229</x:v>
      </x:c>
    </x:row>
    <x:row r="25">
      <x:c r="A25" s="20" t="str">
        <x:v>BIZON-MODEL-TTX108</x:v>
      </x:c>
      <x:c r="B25" s="20" t="str">
        <x:v>BIZON</x:v>
      </x:c>
      <x:c r="C25" s="19" t="str">
        <x:v>DOUBLESTAR</x:v>
      </x:c>
      <x:c r="D25" s="20" t="str">
        <x:v>TBR</x:v>
      </x:c>
      <x:c r="E25" s="20" t="str">
        <x:v>TTX108</x:v>
      </x:c>
      <x:c r="F25" s="20" t="str">
        <x:v>BIZON TTX108</x:v>
      </x:c>
      <x:c r="G25" s="20" t="str">
        <x:v>BIZON TTX108</x:v>
      </x:c>
      <x:c r="H25" s="20" t="str">
        <x:v>ttx108</x:v>
      </x:c>
      <x:c r="I25" s="20" t="str">
        <x:v>active</x:v>
      </x:c>
      <x:c r="J25" s="20" t="str">
        <x:v>draft</x:v>
      </x:c>
      <x:c r="K25" s="20" t="str">
        <x:v>tbr</x:v>
      </x:c>
      <x:c r="L25" s="31" t="b">
        <x:v>0</x:v>
      </x:c>
      <x:c r="M25" s="31" t="b">
        <x:v>1</x:v>
      </x:c>
      <x:c r="N25" s="31" t="b">
        <x:v>1</x:v>
      </x:c>
      <x:c r="O25" s="31" t="b">
        <x:v>1</x:v>
      </x:c>
      <x:c r="P25" s="31" t="b">
        <x:v>0</x:v>
      </x:c>
      <x:c r="Q25" s="31" t="b">
        <x:v>0</x:v>
      </x:c>
      <x:c r="R25" s="31" t="b">
        <x:v>0</x:v>
      </x:c>
      <x:c r="S25" s="31" t="b">
        <x:v>0</x:v>
      </x:c>
      <x:c r="T25" s="31" t="b">
        <x:v>0</x:v>
      </x:c>
      <x:c r="U25" s="19" t="str">
        <x:v>Drive and trailer</x:v>
      </x:c>
      <x:c r="V25" s="20" t="str">
        <x:v>["long-haul"]</x:v>
      </x:c>
      <x:c r="W25" s="20" t="str">
        <x:v>["low-noise","anti-wear","economy","safety"]</x:v>
      </x:c>
      <x:c r="X25" s="20" t="str">
        <x:v>Грузовая шина BIZON TTX108 для магистральной эксплуатации.</x:v>
      </x:c>
      <x:c r="Y25" s="20" t="str">
        <x:v>Модель BIZON TTX108. Позиция установки по каталогу: Drive and trailer. Основные заявленные свойства: Низкий уровень шума; Износостойкость; Экономичность; Безопасность.</x:v>
      </x:c>
      <x:c r="Z25" s="19" t="str">
        <x:v>Optimizing the pattern pitch distribution reduces noise to 73 dB for more comfortable driving.</x:v>
      </x:c>
      <x:c r="AA25" s="20" t="str">
        <x:v>Низкий уровень шума; Износостойкость; Экономичность; Безопасность</x:v>
      </x:c>
      <x:c r="AB25" s="20" t="str"/>
      <x:c r="AC25" s="20" t="str"/>
      <x:c r="AD25" s="19" t="str">
        <x:v>Русский текст является редакционным переводом и требует контент-проверки перед публикацией.</x:v>
      </x:c>
      <x:c r="AE25" s="20" t="str"/>
      <x:c r="AF25" s="20" t="str"/>
      <x:c r="AG25" s="20" t="str">
        <x:v>[]</x:v>
      </x:c>
      <x:c r="AH25" s="20" t="str"/>
      <x:c r="AI25" s="19" t="str"/>
      <x:c r="AJ25" s="19" t="str">
        <x:v>DOUBLESTAR COMBODIA TBR CATALOGUE.pdf</x:v>
      </x:c>
      <x:c r="AK25" s="19" t="n">
        <x:v>9</x:v>
      </x:c>
      <x:c r="AL25" s="19" t="str">
        <x:v>TTX108</x:v>
      </x:c>
      <x:c r="AM25" s="29" t="b">
        <x:v>1</x:v>
      </x:c>
      <x:c r="AN25" s="19" t="str">
        <x:v>verified</x:v>
      </x:c>
      <x:c r="AO25" s="19" t="str">
        <x:v>Код модели, позиция и пиктограммы сверены визуально; русский контент является редакционным переводом.</x:v>
      </x:c>
      <x:c r="AP25" s="30" t="n">
        <x:v>46229</x:v>
      </x:c>
      <x:c r="AQ25" s="30" t="n">
        <x:v>46229</x:v>
      </x:c>
    </x:row>
  </x:sheetData>
  <x:conditionalFormatting sqref="AN2:AN25">
    <x:cfRule type="containsText" dxfId="0" priority="1" operator="containsText" text="verified"/>
    <x:cfRule type="containsText" dxfId="1" priority="2" operator="containsText" text="needs_review"/>
    <x:cfRule type="containsText" dxfId="2" priority="3" operator="containsText" text="rejected"/>
  </x:conditionalFormatting>
  <x:dataValidations count="13">
    <x:dataValidation type="list" sqref="J2:J25">
      <x:formula1>"draft,review,published,archived"</x:formula1>
    </x:dataValidation>
    <x:dataValidation type="list" sqref="AN2:AN25">
      <x:formula1>"verified,needs_review,source_only,rejected"</x:formula1>
    </x:dataValidation>
    <x:dataValidation type="list" sqref="L2:L25">
      <x:formula1>"TRUE,FALSE"</x:formula1>
    </x:dataValidation>
    <x:dataValidation type="list" sqref="M2:M25">
      <x:formula1>"TRUE,FALSE"</x:formula1>
    </x:dataValidation>
    <x:dataValidation type="list" sqref="N2:N25">
      <x:formula1>"TRUE,FALSE"</x:formula1>
    </x:dataValidation>
    <x:dataValidation type="list" sqref="O2:O25">
      <x:formula1>"TRUE,FALSE"</x:formula1>
    </x:dataValidation>
    <x:dataValidation type="list" sqref="P2:P25">
      <x:formula1>"TRUE,FALSE"</x:formula1>
    </x:dataValidation>
    <x:dataValidation type="list" sqref="Q2:Q25">
      <x:formula1>"TRUE,FALSE"</x:formula1>
    </x:dataValidation>
    <x:dataValidation type="list" sqref="R2:R25">
      <x:formula1>"TRUE,FALSE"</x:formula1>
    </x:dataValidation>
    <x:dataValidation type="list" sqref="S2:S25">
      <x:formula1>"TRUE,FALSE"</x:formula1>
    </x:dataValidation>
    <x:dataValidation type="list" sqref="T2:T25">
      <x:formula1>"TRUE,FALSE"</x:formula1>
    </x:dataValidation>
    <x:dataValidation type="list" sqref="V2:V25">
      <x:formula1>"TRUE,FALSE"</x:formula1>
    </x:dataValidation>
    <x:dataValidation type="list" sqref="AM2:AM25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2ca2b7debda430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7" hidden="0" customWidth="1"/>
    <x:col min="3" max="3" width="11" hidden="0" customWidth="1"/>
    <x:col min="4" max="4" width="10" hidden="0" customWidth="1"/>
    <x:col min="5" max="5" width="25" hidden="0" customWidth="1"/>
    <x:col min="6" max="6" width="11" hidden="0" customWidth="1"/>
    <x:col min="7" max="7" width="13" hidden="0" customWidth="1"/>
    <x:col min="8" max="8" width="17" hidden="0" customWidth="1"/>
    <x:col min="9" max="9" width="10" hidden="0" customWidth="1"/>
    <x:col min="10" max="10" width="14" hidden="0" customWidth="1"/>
    <x:col min="11" max="11" width="10" hidden="0" customWidth="1"/>
    <x:col min="12" max="12" width="15" hidden="0" customWidth="1"/>
    <x:col min="13" max="13" width="16" hidden="0" customWidth="1"/>
    <x:col min="14" max="14" width="15" hidden="0" customWidth="1"/>
    <x:col min="15" max="15" width="16" hidden="0" customWidth="1"/>
    <x:col min="16" max="16" width="14" hidden="0" customWidth="1"/>
    <x:col min="17" max="17" width="12" hidden="0" customWidth="1"/>
    <x:col min="18" max="18" width="13" hidden="0" customWidth="1"/>
    <x:col min="19" max="19" width="24" hidden="0" customWidth="1"/>
    <x:col min="20" max="20" width="14" hidden="0" customWidth="1"/>
    <x:col min="21" max="21" width="20" hidden="0" customWidth="1"/>
    <x:col min="22" max="22" width="18" hidden="0" customWidth="1"/>
    <x:col min="23" max="23" width="24" hidden="0" customWidth="1"/>
    <x:col min="24" max="24" width="18" hidden="0" customWidth="1"/>
    <x:col min="25" max="25" width="16" hidden="0" customWidth="1"/>
    <x:col min="26" max="26" width="18" hidden="0" customWidth="1"/>
    <x:col min="27" max="27" width="16" hidden="0" customWidth="1"/>
    <x:col min="28" max="28" width="18" hidden="0" customWidth="1"/>
    <x:col min="29" max="29" width="16" hidden="0" customWidth="1"/>
    <x:col min="30" max="30" width="28" hidden="0" customWidth="1"/>
    <x:col min="31" max="31" width="20" hidden="0" customWidth="1"/>
    <x:col min="32" max="32" width="18" hidden="0" customWidth="1"/>
    <x:col min="33" max="33" width="24" hidden="0" customWidth="1"/>
    <x:col min="34" max="34" width="17" hidden="0" customWidth="1"/>
    <x:col min="35" max="35" width="15" hidden="0" customWidth="1"/>
    <x:col min="36" max="36" width="17" hidden="0" customWidth="1"/>
    <x:col min="37" max="37" width="15" hidden="0" customWidth="1"/>
    <x:col min="38" max="38" width="28" hidden="0" customWidth="1"/>
    <x:col min="39" max="39" width="16" hidden="0" customWidth="1"/>
    <x:col min="40" max="40" width="14" hidden="0" customWidth="1"/>
    <x:col min="41" max="41" width="19" hidden="0" customWidth="1"/>
    <x:col min="42" max="42" width="20" hidden="0" customWidth="1"/>
    <x:col min="43" max="43" width="11" hidden="0" customWidth="1"/>
    <x:col min="44" max="44" width="22" hidden="0" customWidth="1"/>
    <x:col min="45" max="45" width="16" hidden="0" customWidth="1"/>
    <x:col min="46" max="46" width="24" hidden="0" customWidth="1"/>
    <x:col min="47" max="47" width="18" hidden="0" customWidth="1"/>
    <x:col min="48" max="48" width="24" hidden="0" customWidth="1"/>
    <x:col min="49" max="49" width="27" hidden="0" customWidth="1"/>
    <x:col min="50" max="50" width="15" hidden="0" customWidth="1"/>
    <x:col min="51" max="51" width="21" hidden="0" customWidth="1"/>
    <x:col min="52" max="52" width="25" hidden="0" customWidth="1"/>
    <x:col min="53" max="53" width="10" hidden="0" customWidth="1"/>
    <x:col min="54" max="54" width="10" hidden="0" customWidth="1"/>
    <x:col min="55" max="55" width="11" hidden="0" customWidth="1"/>
    <x:col min="56" max="56" width="22" hidden="0" customWidth="1"/>
    <x:col min="57" max="57" width="28" hidden="0" customWidth="1"/>
    <x:col min="58" max="58" width="17" hidden="0" customWidth="1"/>
    <x:col min="59" max="59" width="28" hidden="0" customWidth="1"/>
    <x:col min="60" max="60" width="12" hidden="0" customWidth="1"/>
    <x:col min="61" max="61" width="16" hidden="0" customWidth="1"/>
    <x:col min="62" max="62" width="17" hidden="0" customWidth="1"/>
    <x:col min="63" max="63" width="28" hidden="0" customWidth="1"/>
    <x:col min="64" max="64" width="18" hidden="0" customWidth="1"/>
    <x:col min="65" max="65" width="28" hidden="0" customWidth="1"/>
    <x:col min="66" max="66" width="14" hidden="0" customWidth="1"/>
    <x:col min="67" max="67" width="14" hidden="0" customWidth="1"/>
    <x:col min="68" max="68" width="28" hidden="0" customWidth="1"/>
    <x:col min="69" max="69" width="28" hidden="0" customWidth="1"/>
  </x:cols>
  <x:sheetData>
    <x:row r="1" ht="34" customHeight="1">
      <x:c r="A1" s="17" t="str">
        <x:v>variant_id</x:v>
      </x:c>
      <x:c r="B1" s="17" t="str">
        <x:v>model_id</x:v>
      </x:c>
      <x:c r="C1" s="17" t="str">
        <x:v>public_brand</x:v>
      </x:c>
      <x:c r="D1" s="17" t="str">
        <x:v>model_code</x:v>
      </x:c>
      <x:c r="E1" s="17" t="str">
        <x:v>sku</x:v>
      </x:c>
      <x:c r="F1" s="17" t="str">
        <x:v>supplier_sku</x:v>
      </x:c>
      <x:c r="G1" s="17" t="str">
        <x:v>variant_status</x:v>
      </x:c>
      <x:c r="H1" s="17" t="str">
        <x:v>publication_status</x:v>
      </x:c>
      <x:c r="I1" s="17" t="str">
        <x:v>size_raw</x:v>
      </x:c>
      <x:c r="J1" s="17" t="str">
        <x:v>size_normalized</x:v>
      </x:c>
      <x:c r="K1" s="17" t="str">
        <x:v>size_format</x:v>
      </x:c>
      <x:c r="L1" s="17" t="str">
        <x:v>nominal_width_mm</x:v>
      </x:c>
      <x:c r="M1" s="17" t="str">
        <x:v>imperial_width_in</x:v>
      </x:c>
      <x:c r="N1" s="17" t="str">
        <x:v>aspect_ratio_pct</x:v>
      </x:c>
      <x:c r="O1" s="17" t="str">
        <x:v>construction_code</x:v>
      </x:c>
      <x:c r="P1" s="17" t="str">
        <x:v>rim_diameter_in</x:v>
      </x:c>
      <x:c r="Q1" s="17" t="str">
        <x:v>ply_rating_pr</x:v>
      </x:c>
      <x:c r="R1" s="17" t="str">
        <x:v>tread_depth_mm</x:v>
      </x:c>
      <x:c r="S1" s="17" t="str">
        <x:v>tread_depth_32nd_in_source</x:v>
      </x:c>
      <x:c r="T1" s="17" t="str">
        <x:v>standard_rim_in</x:v>
      </x:c>
      <x:c r="U1" s="17" t="str">
        <x:v>pressure_single_source</x:v>
      </x:c>
      <x:c r="V1" s="17" t="str">
        <x:v>pressure_dual_source</x:v>
      </x:c>
      <x:c r="W1" s="17" t="str">
        <x:v>pressure_source_unit_label</x:v>
      </x:c>
      <x:c r="X1" s="17" t="str">
        <x:v>pressure_single_kpa</x:v>
      </x:c>
      <x:c r="Y1" s="17" t="str">
        <x:v>pressure_dual_kpa</x:v>
      </x:c>
      <x:c r="Z1" s="17" t="str">
        <x:v>pressure_single_bar</x:v>
      </x:c>
      <x:c r="AA1" s="17" t="str">
        <x:v>pressure_dual_bar</x:v>
      </x:c>
      <x:c r="AB1" s="17" t="str">
        <x:v>pressure_single_psi</x:v>
      </x:c>
      <x:c r="AC1" s="17" t="str">
        <x:v>pressure_dual_psi</x:v>
      </x:c>
      <x:c r="AD1" s="17" t="str">
        <x:v>pressure_unit_verification_status</x:v>
      </x:c>
      <x:c r="AE1" s="17" t="str">
        <x:v>max_load_single_source</x:v>
      </x:c>
      <x:c r="AF1" s="17" t="str">
        <x:v>max_load_dual_source</x:v>
      </x:c>
      <x:c r="AG1" s="17" t="str">
        <x:v>max_load_source_unit_label</x:v>
      </x:c>
      <x:c r="AH1" s="17" t="str">
        <x:v>max_load_single_kg</x:v>
      </x:c>
      <x:c r="AI1" s="17" t="str">
        <x:v>max_load_dual_kg</x:v>
      </x:c>
      <x:c r="AJ1" s="17" t="str">
        <x:v>max_load_single_lb</x:v>
      </x:c>
      <x:c r="AK1" s="17" t="str">
        <x:v>max_load_dual_lb</x:v>
      </x:c>
      <x:c r="AL1" s="17" t="str">
        <x:v>max_load_unit_verification_status</x:v>
      </x:c>
      <x:c r="AM1" s="17" t="str">
        <x:v>load_index_single</x:v>
      </x:c>
      <x:c r="AN1" s="17" t="str">
        <x:v>load_index_dual</x:v>
      </x:c>
      <x:c r="AO1" s="17" t="str">
        <x:v>load_index_source_raw</x:v>
      </x:c>
      <x:c r="AP1" s="17" t="str">
        <x:v>alternative_load_index</x:v>
      </x:c>
      <x:c r="AQ1" s="17" t="str">
        <x:v>speed_symbol</x:v>
      </x:c>
      <x:c r="AR1" s="17" t="str">
        <x:v>alternative_speed_symbol</x:v>
      </x:c>
      <x:c r="AS1" s="17" t="str">
        <x:v>rating_source_raw</x:v>
      </x:c>
      <x:c r="AT1" s="17" t="str">
        <x:v>rating_verification_status</x:v>
      </x:c>
      <x:c r="AU1" s="17" t="str">
        <x:v>overall_diameter_mm</x:v>
      </x:c>
      <x:c r="AV1" s="17" t="str">
        <x:v>overall_diameter_in_source</x:v>
      </x:c>
      <x:c r="AW1" s="17" t="str">
        <x:v>overall_diameter_in_calculated</x:v>
      </x:c>
      <x:c r="AX1" s="17" t="str">
        <x:v>section_width_mm</x:v>
      </x:c>
      <x:c r="AY1" s="17" t="str">
        <x:v>section_width_in_source</x:v>
      </x:c>
      <x:c r="AZ1" s="17" t="str">
        <x:v>section_width_in_calculated</x:v>
      </x:c>
      <x:c r="BA1" s="17" t="str">
        <x:v>axle_steer</x:v>
      </x:c>
      <x:c r="BB1" s="17" t="str">
        <x:v>axle_drive</x:v>
      </x:c>
      <x:c r="BC1" s="17" t="str">
        <x:v>axle_trailer</x:v>
      </x:c>
      <x:c r="BD1" s="17" t="str">
        <x:v>application_keys</x:v>
      </x:c>
      <x:c r="BE1" s="17" t="str">
        <x:v>feature_keys</x:v>
      </x:c>
      <x:c r="BF1" s="17" t="str">
        <x:v>derived_from_model</x:v>
      </x:c>
      <x:c r="BG1" s="17" t="str">
        <x:v>source_document</x:v>
      </x:c>
      <x:c r="BH1" s="17" t="str">
        <x:v>source_page</x:v>
      </x:c>
      <x:c r="BI1" s="17" t="str">
        <x:v>source_row_number</x:v>
      </x:c>
      <x:c r="BJ1" s="17" t="str">
        <x:v>source_table_label</x:v>
      </x:c>
      <x:c r="BK1" s="17" t="str">
        <x:v>source_data_raw</x:v>
      </x:c>
      <x:c r="BL1" s="17" t="str">
        <x:v>verification_status</x:v>
      </x:c>
      <x:c r="BM1" s="17" t="str">
        <x:v>validation_warnings</x:v>
      </x:c>
      <x:c r="BN1" s="17" t="str">
        <x:v>duplicate_check</x:v>
      </x:c>
      <x:c r="BO1" s="17" t="str">
        <x:v>publish_blocked</x:v>
      </x:c>
      <x:c r="BP1" s="17" t="str">
        <x:v>created_at</x:v>
      </x:c>
      <x:c r="BQ1" s="17" t="str">
        <x:v>updated_at</x:v>
      </x:c>
    </x:row>
    <x:row r="2">
      <x:c r="A2" s="18" t="str">
        <x:v>BIZON-VAR-DLA968-38565R225-24PR</x:v>
      </x:c>
      <x:c r="B2" s="18" t="str">
        <x:v>BIZON-MODEL-DLA968</x:v>
      </x:c>
      <x:c r="C2" s="18" t="str">
        <x:v>BIZON</x:v>
      </x:c>
      <x:c r="D2" s="18" t="str">
        <x:v>DLA968</x:v>
      </x:c>
      <x:c r="E2" s="18" t="str">
        <x:v>BIZON-DLA968-38565R225-24PR</x:v>
      </x:c>
      <x:c r="F2" s="18" t="str"/>
      <x:c r="G2" s="18" t="str">
        <x:v>active</x:v>
      </x:c>
      <x:c r="H2" s="18" t="str">
        <x:v>draft</x:v>
      </x:c>
      <x:c r="I2" s="19" t="str">
        <x:v>385/65R22.5</x:v>
      </x:c>
      <x:c r="J2" s="18" t="str">
        <x:v>385/65R22.5</x:v>
      </x:c>
      <x:c r="K2" s="18" t="str">
        <x:v>metric</x:v>
      </x:c>
      <x:c r="L2" s="39" t="n">
        <x:v>385</x:v>
      </x:c>
      <x:c r="M2" s="39"/>
      <x:c r="N2" s="40" t="n">
        <x:v>65</x:v>
      </x:c>
      <x:c r="O2" s="18" t="str">
        <x:v>R</x:v>
      </x:c>
      <x:c r="P2" s="39" t="n">
        <x:v>22.5</x:v>
      </x:c>
      <x:c r="Q2" s="18" t="n">
        <x:v>24</x:v>
      </x:c>
      <x:c r="R2" s="39" t="n">
        <x:v>15.5</x:v>
      </x:c>
      <x:c r="S2" s="41" t="n">
        <x:v>20</x:v>
      </x:c>
      <x:c r="T2" s="39" t="n">
        <x:v>11.75</x:v>
      </x:c>
      <x:c r="U2" s="19" t="n">
        <x:v>900</x:v>
      </x:c>
      <x:c r="V2" s="19"/>
      <x:c r="W2" s="19" t="str">
        <x:v>PSI</x:v>
      </x:c>
      <x:c r="X2" s="18" t="n">
        <x:v>900</x:v>
      </x:c>
      <x:c r="Y2" s="18"/>
      <x:c r="Z2" s="39" t="n">
        <x:f>ROUND(X2/100,1)</x:f>
        <x:v>9</x:v>
      </x:c>
      <x:c r="AA2" s="39" t="str">
        <x:f>""</x:f>
      </x:c>
      <x:c r="AB2" s="39" t="n">
        <x:f>ROUND(X2*0.1450377377,1)</x:f>
        <x:v>130.5</x:v>
      </x:c>
      <x:c r="AC2" s="39" t="str">
        <x:f>""</x:f>
      </x:c>
      <x:c r="AD2" s="19" t="str">
        <x:v>verified</x:v>
      </x:c>
      <x:c r="AE2" s="19" t="n">
        <x:v>5000</x:v>
      </x:c>
      <x:c r="AF2" s="19"/>
      <x:c r="AG2" s="19" t="str">
        <x:v>LBS</x:v>
      </x:c>
      <x:c r="AH2" s="18" t="n">
        <x:v>5000</x:v>
      </x:c>
      <x:c r="AI2" s="18"/>
      <x:c r="AJ2" s="18" t="n">
        <x:f>ROUND(AH2*2.2046226218,0)</x:f>
        <x:v>11023</x:v>
      </x:c>
      <x:c r="AK2" s="18" t="str">
        <x:f>""</x:f>
      </x:c>
      <x:c r="AL2" s="19" t="str">
        <x:v>verified</x:v>
      </x:c>
      <x:c r="AM2" s="18" t="n">
        <x:v>164</x:v>
      </x:c>
      <x:c r="AN2" s="18"/>
      <x:c r="AO2" s="19" t="str">
        <x:v>164</x:v>
      </x:c>
      <x:c r="AP2" s="18"/>
      <x:c r="AQ2" s="18" t="str">
        <x:v>K</x:v>
      </x:c>
      <x:c r="AR2" s="18"/>
      <x:c r="AS2" s="19" t="str">
        <x:v>164 K</x:v>
      </x:c>
      <x:c r="AT2" s="19" t="str">
        <x:v>verified</x:v>
      </x:c>
      <x:c r="AU2" s="39" t="n">
        <x:v>1072</x:v>
      </x:c>
      <x:c r="AV2" s="19" t="n">
        <x:v>42</x:v>
      </x:c>
      <x:c r="AW2" s="42" t="n">
        <x:f>ROUND(AU2/25.4,2)</x:f>
        <x:v>42.2</x:v>
      </x:c>
      <x:c r="AX2" s="39" t="n">
        <x:v>389</x:v>
      </x:c>
      <x:c r="AY2" s="19" t="n">
        <x:v>15</x:v>
      </x:c>
      <x:c r="AZ2" s="42" t="n">
        <x:f>ROUND(AX2/25.4,2)</x:f>
        <x:v>15.31</x:v>
      </x:c>
      <x:c r="BA2" s="28" t="b">
        <x:v>1</x:v>
      </x:c>
      <x:c r="BB2" s="28" t="b">
        <x:v>0</x:v>
      </x:c>
      <x:c r="BC2" s="28" t="b">
        <x:v>1</x:v>
      </x:c>
      <x:c r="BD2" s="18" t="str">
        <x:v>["long-haul","regional"]</x:v>
      </x:c>
      <x:c r="BE2" s="18" t="str">
        <x:v>["handling","safety","high-mileage"]</x:v>
      </x:c>
      <x:c r="BF2" s="43" t="b">
        <x:v>1</x:v>
      </x:c>
      <x:c r="BG2" s="19" t="str">
        <x:v>DOUBLESTAR COMBODIA TBR CATALOGUE.pdf</x:v>
      </x:c>
      <x:c r="BH2" s="19" t="n">
        <x:v>4</x:v>
      </x:c>
      <x:c r="BI2" s="19" t="n">
        <x:v>1</x:v>
      </x:c>
      <x:c r="BJ2" s="19" t="str">
        <x:v>DLA968</x:v>
      </x:c>
      <x:c r="BK2" s="19" t="str">
        <x:v>{"Size":"385/65R22.5","PR":24,"Tread Depth mm":15.5,"Tread Depth 1/32in":20,"Standard Rim":11.75,"Pressure(PSI) Single":900,"Pressure(PSI) Dual":null,"Max. Load(LBS) Single":5000,"Max. Load(LBS) Dual":null,"Load Index Single":"164","Load Index Dual":null,"Speed Grade":"K","Overall Diameter mm":1072,"Section Width mm":389,"Overall Diameter inch":42,"Section Width inch":15}</x:v>
      </x:c>
      <x:c r="BL2" s="19" t="str">
        <x:v>verified</x:v>
      </x:c>
      <x:c r="BM2" s="18" t="str">
        <x:v>[]</x:v>
      </x:c>
      <x:c r="BN2" s="18" t="str">
        <x:v>unique</x:v>
      </x:c>
      <x:c r="BO2" s="28" t="b">
        <x:v>0</x:v>
      </x:c>
      <x:c r="BP2" s="30" t="n">
        <x:v>46229</x:v>
      </x:c>
      <x:c r="BQ2" s="30" t="n">
        <x:v>46229.270833333336</x:v>
      </x:c>
    </x:row>
    <x:row r="3">
      <x:c r="A3" s="20" t="str">
        <x:v>BIZON-VAR-DLA968-38555R225-20PR</x:v>
      </x:c>
      <x:c r="B3" s="20" t="str">
        <x:v>BIZON-MODEL-DLA968</x:v>
      </x:c>
      <x:c r="C3" s="20" t="str">
        <x:v>BIZON</x:v>
      </x:c>
      <x:c r="D3" s="20" t="str">
        <x:v>DLA968</x:v>
      </x:c>
      <x:c r="E3" s="20" t="str">
        <x:v>BIZON-DLA968-38555R225-20PR</x:v>
      </x:c>
      <x:c r="F3" s="20" t="str"/>
      <x:c r="G3" s="20" t="str">
        <x:v>active</x:v>
      </x:c>
      <x:c r="H3" s="20" t="str">
        <x:v>draft</x:v>
      </x:c>
      <x:c r="I3" s="19" t="str">
        <x:v>385/55R22.5</x:v>
      </x:c>
      <x:c r="J3" s="20" t="str">
        <x:v>385/55R22.5</x:v>
      </x:c>
      <x:c r="K3" s="20" t="str">
        <x:v>metric</x:v>
      </x:c>
      <x:c r="L3" s="44" t="n">
        <x:v>385</x:v>
      </x:c>
      <x:c r="M3" s="44"/>
      <x:c r="N3" s="45" t="n">
        <x:v>55</x:v>
      </x:c>
      <x:c r="O3" s="20" t="str">
        <x:v>R</x:v>
      </x:c>
      <x:c r="P3" s="44" t="n">
        <x:v>22.5</x:v>
      </x:c>
      <x:c r="Q3" s="20" t="n">
        <x:v>20</x:v>
      </x:c>
      <x:c r="R3" s="44" t="n">
        <x:v>15</x:v>
      </x:c>
      <x:c r="S3" s="41" t="n">
        <x:v>19</x:v>
      </x:c>
      <x:c r="T3" s="44" t="n">
        <x:v>12.25</x:v>
      </x:c>
      <x:c r="U3" s="19" t="n">
        <x:v>900</x:v>
      </x:c>
      <x:c r="V3" s="19"/>
      <x:c r="W3" s="19" t="str">
        <x:v>PSI</x:v>
      </x:c>
      <x:c r="X3" s="20" t="n">
        <x:v>900</x:v>
      </x:c>
      <x:c r="Y3" s="20"/>
      <x:c r="Z3" s="44" t="n">
        <x:f>ROUND(X3/100,1)</x:f>
        <x:v>9</x:v>
      </x:c>
      <x:c r="AA3" s="44" t="str">
        <x:f>""</x:f>
      </x:c>
      <x:c r="AB3" s="44" t="n">
        <x:f>ROUND(X3*0.1450377377,1)</x:f>
        <x:v>130.5</x:v>
      </x:c>
      <x:c r="AC3" s="44" t="str">
        <x:f>""</x:f>
      </x:c>
      <x:c r="AD3" s="19" t="str">
        <x:v>verified</x:v>
      </x:c>
      <x:c r="AE3" s="19" t="n">
        <x:v>4500</x:v>
      </x:c>
      <x:c r="AF3" s="19"/>
      <x:c r="AG3" s="19" t="str">
        <x:v>LBS</x:v>
      </x:c>
      <x:c r="AH3" s="20" t="n">
        <x:v>4500</x:v>
      </x:c>
      <x:c r="AI3" s="20"/>
      <x:c r="AJ3" s="20" t="n">
        <x:f>ROUND(AH3*2.2046226218,0)</x:f>
        <x:v>9921</x:v>
      </x:c>
      <x:c r="AK3" s="20" t="str">
        <x:f>""</x:f>
      </x:c>
      <x:c r="AL3" s="19" t="str">
        <x:v>verified</x:v>
      </x:c>
      <x:c r="AM3" s="20" t="n">
        <x:v>160</x:v>
      </x:c>
      <x:c r="AN3" s="20"/>
      <x:c r="AO3" s="19" t="str">
        <x:v>160(158)</x:v>
      </x:c>
      <x:c r="AP3" s="20" t="n">
        <x:v>158</x:v>
      </x:c>
      <x:c r="AQ3" s="20" t="str">
        <x:v>K</x:v>
      </x:c>
      <x:c r="AR3" s="20" t="str">
        <x:v>L</x:v>
      </x:c>
      <x:c r="AS3" s="19" t="str">
        <x:v>160(158) K(L)</x:v>
      </x:c>
      <x:c r="AT3" s="19" t="str">
        <x:v>needs_review</x:v>
      </x:c>
      <x:c r="AU3" s="44" t="n">
        <x:v>996</x:v>
      </x:c>
      <x:c r="AV3" s="19" t="n">
        <x:v>39</x:v>
      </x:c>
      <x:c r="AW3" s="42" t="n">
        <x:f>ROUND(AU3/25.4,2)</x:f>
        <x:v>39.21</x:v>
      </x:c>
      <x:c r="AX3" s="44" t="n">
        <x:v>386</x:v>
      </x:c>
      <x:c r="AY3" s="19" t="n">
        <x:v>15</x:v>
      </x:c>
      <x:c r="AZ3" s="42" t="n">
        <x:f>ROUND(AX3/25.4,2)</x:f>
        <x:v>15.2</x:v>
      </x:c>
      <x:c r="BA3" s="31" t="b">
        <x:v>1</x:v>
      </x:c>
      <x:c r="BB3" s="31" t="b">
        <x:v>0</x:v>
      </x:c>
      <x:c r="BC3" s="31" t="b">
        <x:v>1</x:v>
      </x:c>
      <x:c r="BD3" s="20" t="str">
        <x:v>["long-haul","regional"]</x:v>
      </x:c>
      <x:c r="BE3" s="20" t="str">
        <x:v>["handling","safety","high-mileage"]</x:v>
      </x:c>
      <x:c r="BF3" s="43" t="b">
        <x:v>1</x:v>
      </x:c>
      <x:c r="BG3" s="19" t="str">
        <x:v>DOUBLESTAR COMBODIA TBR CATALOGUE.pdf</x:v>
      </x:c>
      <x:c r="BH3" s="19" t="n">
        <x:v>4</x:v>
      </x:c>
      <x:c r="BI3" s="19" t="n">
        <x:v>2</x:v>
      </x:c>
      <x:c r="BJ3" s="19" t="str">
        <x:v>DLA968</x:v>
      </x:c>
      <x:c r="BK3" s="19" t="str">
        <x:v>{"Size":"385/55R22.5","PR":20,"Tread Depth mm":15,"Tread Depth 1/32in":19,"Standard Rim":12.25,"Pressure(PSI) Single":900,"Pressure(PSI) Dual":null,"Max. Load(LBS) Single":4500,"Max. Load(LBS) Dual":null,"Load Index Single":"160(158)","Load Index Dual":null,"Speed Grade":"K(L)","Overall Diameter mm":996,"Section Width mm":386,"Overall Diameter inch":39,"Section Width inch":15}</x:v>
      </x:c>
      <x:c r="BL3" s="19" t="str">
        <x:v>needs_review</x:v>
      </x:c>
      <x:c r="BM3" s="20" t="str">
        <x:v>["alternative_rating_notation"]</x:v>
      </x:c>
      <x:c r="BN3" s="20" t="str">
        <x:v>unique</x:v>
      </x:c>
      <x:c r="BO3" s="31" t="b">
        <x:v>1</x:v>
      </x:c>
      <x:c r="BP3" s="30" t="n">
        <x:v>46229</x:v>
      </x:c>
      <x:c r="BQ3" s="30" t="n">
        <x:v>46229.270833333336</x:v>
      </x:c>
    </x:row>
    <x:row r="4">
      <x:c r="A4" s="18" t="str">
        <x:v>BIZON-VAR-DLA968-31580R225-20PR</x:v>
      </x:c>
      <x:c r="B4" s="18" t="str">
        <x:v>BIZON-MODEL-DLA968</x:v>
      </x:c>
      <x:c r="C4" s="18" t="str">
        <x:v>BIZON</x:v>
      </x:c>
      <x:c r="D4" s="18" t="str">
        <x:v>DLA968</x:v>
      </x:c>
      <x:c r="E4" s="18" t="str">
        <x:v>BIZON-DLA968-31580R225-20PR</x:v>
      </x:c>
      <x:c r="F4" s="18" t="str"/>
      <x:c r="G4" s="18" t="str">
        <x:v>active</x:v>
      </x:c>
      <x:c r="H4" s="18" t="str">
        <x:v>draft</x:v>
      </x:c>
      <x:c r="I4" s="19" t="str">
        <x:v>315/80R22.5</x:v>
      </x:c>
      <x:c r="J4" s="18" t="str">
        <x:v>315/80R22.5</x:v>
      </x:c>
      <x:c r="K4" s="18" t="str">
        <x:v>metric</x:v>
      </x:c>
      <x:c r="L4" s="39" t="n">
        <x:v>315</x:v>
      </x:c>
      <x:c r="M4" s="39"/>
      <x:c r="N4" s="40" t="n">
        <x:v>80</x:v>
      </x:c>
      <x:c r="O4" s="18" t="str">
        <x:v>R</x:v>
      </x:c>
      <x:c r="P4" s="39" t="n">
        <x:v>22.5</x:v>
      </x:c>
      <x:c r="Q4" s="18" t="n">
        <x:v>20</x:v>
      </x:c>
      <x:c r="R4" s="39" t="n">
        <x:v>16</x:v>
      </x:c>
      <x:c r="S4" s="41" t="n">
        <x:v>20</x:v>
      </x:c>
      <x:c r="T4" s="39" t="n">
        <x:v>9</x:v>
      </x:c>
      <x:c r="U4" s="19" t="n">
        <x:v>850</x:v>
      </x:c>
      <x:c r="V4" s="19" t="n">
        <x:v>850</x:v>
      </x:c>
      <x:c r="W4" s="19" t="str">
        <x:v>PSI</x:v>
      </x:c>
      <x:c r="X4" s="18" t="n">
        <x:v>850</x:v>
      </x:c>
      <x:c r="Y4" s="18" t="n">
        <x:v>850</x:v>
      </x:c>
      <x:c r="Z4" s="39" t="n">
        <x:f>ROUND(X4/100,1)</x:f>
        <x:v>8.5</x:v>
      </x:c>
      <x:c r="AA4" s="39" t="n">
        <x:f>ROUND(Y4/100,1)</x:f>
        <x:v>8.5</x:v>
      </x:c>
      <x:c r="AB4" s="39" t="n">
        <x:f>ROUND(X4*0.1450377377,1)</x:f>
        <x:v>123.3</x:v>
      </x:c>
      <x:c r="AC4" s="39" t="n">
        <x:f>ROUND(Y4*0.1450377377,1)</x:f>
        <x:v>123.3</x:v>
      </x:c>
      <x:c r="AD4" s="19" t="str">
        <x:v>verified</x:v>
      </x:c>
      <x:c r="AE4" s="19" t="n">
        <x:v>4000</x:v>
      </x:c>
      <x:c r="AF4" s="19" t="n">
        <x:v>3350</x:v>
      </x:c>
      <x:c r="AG4" s="19" t="str">
        <x:v>LBS</x:v>
      </x:c>
      <x:c r="AH4" s="18" t="n">
        <x:v>4000</x:v>
      </x:c>
      <x:c r="AI4" s="18" t="n">
        <x:v>3350</x:v>
      </x:c>
      <x:c r="AJ4" s="18" t="n">
        <x:f>ROUND(AH4*2.2046226218,0)</x:f>
        <x:v>8818</x:v>
      </x:c>
      <x:c r="AK4" s="18" t="n">
        <x:f>ROUND(AI4*2.2046226218,0)</x:f>
        <x:v>7385</x:v>
      </x:c>
      <x:c r="AL4" s="19" t="str">
        <x:v>verified</x:v>
      </x:c>
      <x:c r="AM4" s="18" t="n">
        <x:v>156</x:v>
      </x:c>
      <x:c r="AN4" s="18" t="n">
        <x:v>150</x:v>
      </x:c>
      <x:c r="AO4" s="19" t="str">
        <x:v>156 / 150</x:v>
      </x:c>
      <x:c r="AP4" s="18"/>
      <x:c r="AQ4" s="18" t="str">
        <x:v>L</x:v>
      </x:c>
      <x:c r="AR4" s="18"/>
      <x:c r="AS4" s="19" t="str">
        <x:v>156/150 L</x:v>
      </x:c>
      <x:c r="AT4" s="19" t="str">
        <x:v>verified</x:v>
      </x:c>
      <x:c r="AU4" s="39" t="n">
        <x:v>1076</x:v>
      </x:c>
      <x:c r="AV4" s="19" t="n">
        <x:v>42</x:v>
      </x:c>
      <x:c r="AW4" s="42" t="n">
        <x:f>ROUND(AU4/25.4,2)</x:f>
        <x:v>42.36</x:v>
      </x:c>
      <x:c r="AX4" s="39" t="n">
        <x:v>312</x:v>
      </x:c>
      <x:c r="AY4" s="19" t="n">
        <x:v>12</x:v>
      </x:c>
      <x:c r="AZ4" s="42" t="n">
        <x:f>ROUND(AX4/25.4,2)</x:f>
        <x:v>12.28</x:v>
      </x:c>
      <x:c r="BA4" s="28" t="b">
        <x:v>1</x:v>
      </x:c>
      <x:c r="BB4" s="28" t="b">
        <x:v>0</x:v>
      </x:c>
      <x:c r="BC4" s="28" t="b">
        <x:v>1</x:v>
      </x:c>
      <x:c r="BD4" s="18" t="str">
        <x:v>["long-haul","regional"]</x:v>
      </x:c>
      <x:c r="BE4" s="18" t="str">
        <x:v>["handling","safety","high-mileage"]</x:v>
      </x:c>
      <x:c r="BF4" s="43" t="b">
        <x:v>1</x:v>
      </x:c>
      <x:c r="BG4" s="19" t="str">
        <x:v>DOUBLESTAR COMBODIA TBR CATALOGUE.pdf</x:v>
      </x:c>
      <x:c r="BH4" s="19" t="n">
        <x:v>4</x:v>
      </x:c>
      <x:c r="BI4" s="19" t="n">
        <x:v>3</x:v>
      </x:c>
      <x:c r="BJ4" s="19" t="str">
        <x:v>DLA968</x:v>
      </x:c>
      <x:c r="BK4" s="19" t="str">
        <x:v>{"Size":"315/80R22.5","PR":20,"Tread Depth mm":16,"Tread Depth 1/32in":20,"Standard Rim":9,"Pressure(PSI) Single":850,"Pressure(PSI) Dual":850,"Max. Load(LBS) Single":4000,"Max. Load(LBS) Dual":3350,"Load Index Single":"156","Load Index Dual":"150","Speed Grade":"L","Overall Diameter mm":1076,"Section Width mm":312,"Overall Diameter inch":42,"Section Width inch":12}</x:v>
      </x:c>
      <x:c r="BL4" s="19" t="str">
        <x:v>verified</x:v>
      </x:c>
      <x:c r="BM4" s="18" t="str">
        <x:v>[]</x:v>
      </x:c>
      <x:c r="BN4" s="18" t="str">
        <x:v>unique</x:v>
      </x:c>
      <x:c r="BO4" s="28" t="b">
        <x:v>0</x:v>
      </x:c>
      <x:c r="BP4" s="30" t="n">
        <x:v>46229</x:v>
      </x:c>
      <x:c r="BQ4" s="30" t="n">
        <x:v>46229.270833333336</x:v>
      </x:c>
    </x:row>
    <x:row r="5">
      <x:c r="A5" s="20" t="str">
        <x:v>BIZON-VAR-DLA968-31570R225-18PR</x:v>
      </x:c>
      <x:c r="B5" s="20" t="str">
        <x:v>BIZON-MODEL-DLA968</x:v>
      </x:c>
      <x:c r="C5" s="20" t="str">
        <x:v>BIZON</x:v>
      </x:c>
      <x:c r="D5" s="20" t="str">
        <x:v>DLA968</x:v>
      </x:c>
      <x:c r="E5" s="20" t="str">
        <x:v>BIZON-DLA968-31570R225-18PR</x:v>
      </x:c>
      <x:c r="F5" s="20" t="str"/>
      <x:c r="G5" s="20" t="str">
        <x:v>active</x:v>
      </x:c>
      <x:c r="H5" s="20" t="str">
        <x:v>draft</x:v>
      </x:c>
      <x:c r="I5" s="19" t="str">
        <x:v>315/70R22.5</x:v>
      </x:c>
      <x:c r="J5" s="20" t="str">
        <x:v>315/70R22.5</x:v>
      </x:c>
      <x:c r="K5" s="20" t="str">
        <x:v>metric</x:v>
      </x:c>
      <x:c r="L5" s="44" t="n">
        <x:v>315</x:v>
      </x:c>
      <x:c r="M5" s="44"/>
      <x:c r="N5" s="45" t="n">
        <x:v>70</x:v>
      </x:c>
      <x:c r="O5" s="20" t="str">
        <x:v>R</x:v>
      </x:c>
      <x:c r="P5" s="44" t="n">
        <x:v>22.5</x:v>
      </x:c>
      <x:c r="Q5" s="20" t="n">
        <x:v>18</x:v>
      </x:c>
      <x:c r="R5" s="44" t="n">
        <x:v>16</x:v>
      </x:c>
      <x:c r="S5" s="41" t="n">
        <x:v>20</x:v>
      </x:c>
      <x:c r="T5" s="44" t="n">
        <x:v>9</x:v>
      </x:c>
      <x:c r="U5" s="19" t="n">
        <x:v>900</x:v>
      </x:c>
      <x:c r="V5" s="19" t="n">
        <x:v>900</x:v>
      </x:c>
      <x:c r="W5" s="19" t="str">
        <x:v>PSI</x:v>
      </x:c>
      <x:c r="X5" s="20" t="n">
        <x:v>900</x:v>
      </x:c>
      <x:c r="Y5" s="20" t="n">
        <x:v>900</x:v>
      </x:c>
      <x:c r="Z5" s="44" t="n">
        <x:f>ROUND(X5/100,1)</x:f>
        <x:v>9</x:v>
      </x:c>
      <x:c r="AA5" s="44" t="n">
        <x:f>ROUND(Y5/100,1)</x:f>
        <x:v>9</x:v>
      </x:c>
      <x:c r="AB5" s="44" t="n">
        <x:f>ROUND(X5*0.1450377377,1)</x:f>
        <x:v>130.5</x:v>
      </x:c>
      <x:c r="AC5" s="44" t="n">
        <x:f>ROUND(Y5*0.1450377377,1)</x:f>
        <x:v>130.5</x:v>
      </x:c>
      <x:c r="AD5" s="19" t="str">
        <x:v>verified</x:v>
      </x:c>
      <x:c r="AE5" s="19" t="n">
        <x:v>4000</x:v>
      </x:c>
      <x:c r="AF5" s="19" t="n">
        <x:v>3350</x:v>
      </x:c>
      <x:c r="AG5" s="19" t="str">
        <x:v>LBS</x:v>
      </x:c>
      <x:c r="AH5" s="20" t="n">
        <x:v>4000</x:v>
      </x:c>
      <x:c r="AI5" s="20" t="n">
        <x:v>3350</x:v>
      </x:c>
      <x:c r="AJ5" s="20" t="n">
        <x:f>ROUND(AH5*2.2046226218,0)</x:f>
        <x:v>8818</x:v>
      </x:c>
      <x:c r="AK5" s="20" t="n">
        <x:f>ROUND(AI5*2.2046226218,0)</x:f>
        <x:v>7385</x:v>
      </x:c>
      <x:c r="AL5" s="19" t="str">
        <x:v>verified</x:v>
      </x:c>
      <x:c r="AM5" s="20" t="n">
        <x:v>156</x:v>
      </x:c>
      <x:c r="AN5" s="20" t="n">
        <x:v>150</x:v>
      </x:c>
      <x:c r="AO5" s="19" t="str">
        <x:v>156 / 150</x:v>
      </x:c>
      <x:c r="AP5" s="20"/>
      <x:c r="AQ5" s="20" t="str">
        <x:v>L</x:v>
      </x:c>
      <x:c r="AR5" s="20"/>
      <x:c r="AS5" s="19" t="str">
        <x:v>156/150 L</x:v>
      </x:c>
      <x:c r="AT5" s="19" t="str">
        <x:v>verified</x:v>
      </x:c>
      <x:c r="AU5" s="44" t="n">
        <x:v>1014</x:v>
      </x:c>
      <x:c r="AV5" s="19" t="n">
        <x:v>40</x:v>
      </x:c>
      <x:c r="AW5" s="42" t="n">
        <x:f>ROUND(AU5/25.4,2)</x:f>
        <x:v>39.92</x:v>
      </x:c>
      <x:c r="AX5" s="44" t="n">
        <x:v>312</x:v>
      </x:c>
      <x:c r="AY5" s="19" t="n">
        <x:v>12</x:v>
      </x:c>
      <x:c r="AZ5" s="42" t="n">
        <x:f>ROUND(AX5/25.4,2)</x:f>
        <x:v>12.28</x:v>
      </x:c>
      <x:c r="BA5" s="31" t="b">
        <x:v>1</x:v>
      </x:c>
      <x:c r="BB5" s="31" t="b">
        <x:v>0</x:v>
      </x:c>
      <x:c r="BC5" s="31" t="b">
        <x:v>1</x:v>
      </x:c>
      <x:c r="BD5" s="20" t="str">
        <x:v>["long-haul","regional"]</x:v>
      </x:c>
      <x:c r="BE5" s="20" t="str">
        <x:v>["handling","safety","high-mileage"]</x:v>
      </x:c>
      <x:c r="BF5" s="43" t="b">
        <x:v>1</x:v>
      </x:c>
      <x:c r="BG5" s="19" t="str">
        <x:v>DOUBLESTAR COMBODIA TBR CATALOGUE.pdf</x:v>
      </x:c>
      <x:c r="BH5" s="19" t="n">
        <x:v>4</x:v>
      </x:c>
      <x:c r="BI5" s="19" t="n">
        <x:v>4</x:v>
      </x:c>
      <x:c r="BJ5" s="19" t="str">
        <x:v>DLA968</x:v>
      </x:c>
      <x:c r="BK5" s="19" t="str">
        <x:v>{"Size":"315/70R22.5","PR":18,"Tread Depth mm":16,"Tread Depth 1/32in":20,"Standard Rim":9,"Pressure(PSI) Single":900,"Pressure(PSI) Dual":900,"Max. Load(LBS) Single":4000,"Max. Load(LBS) Dual":3350,"Load Index Single":"156","Load Index Dual":"150","Speed Grade":"L","Overall Diameter mm":1014,"Section Width mm":312,"Overall Diameter inch":40,"Section Width inch":12}</x:v>
      </x:c>
      <x:c r="BL5" s="19" t="str">
        <x:v>verified</x:v>
      </x:c>
      <x:c r="BM5" s="20" t="str">
        <x:v>[]</x:v>
      </x:c>
      <x:c r="BN5" s="20" t="str">
        <x:v>unique</x:v>
      </x:c>
      <x:c r="BO5" s="31" t="b">
        <x:v>0</x:v>
      </x:c>
      <x:c r="BP5" s="30" t="n">
        <x:v>46229</x:v>
      </x:c>
      <x:c r="BQ5" s="30" t="n">
        <x:v>46229.270833333336</x:v>
      </x:c>
    </x:row>
    <x:row r="6">
      <x:c r="A6" s="18" t="str">
        <x:v>BIZON-VAR-DLA968-31560R225-16PR</x:v>
      </x:c>
      <x:c r="B6" s="18" t="str">
        <x:v>BIZON-MODEL-DLA968</x:v>
      </x:c>
      <x:c r="C6" s="18" t="str">
        <x:v>BIZON</x:v>
      </x:c>
      <x:c r="D6" s="18" t="str">
        <x:v>DLA968</x:v>
      </x:c>
      <x:c r="E6" s="18" t="str">
        <x:v>BIZON-DLA968-31560R225-16PR</x:v>
      </x:c>
      <x:c r="F6" s="18" t="str"/>
      <x:c r="G6" s="18" t="str">
        <x:v>active</x:v>
      </x:c>
      <x:c r="H6" s="18" t="str">
        <x:v>draft</x:v>
      </x:c>
      <x:c r="I6" s="19" t="str">
        <x:v>315/60R22.5</x:v>
      </x:c>
      <x:c r="J6" s="18" t="str">
        <x:v>315/60R22.5</x:v>
      </x:c>
      <x:c r="K6" s="18" t="str">
        <x:v>metric</x:v>
      </x:c>
      <x:c r="L6" s="39" t="n">
        <x:v>315</x:v>
      </x:c>
      <x:c r="M6" s="39"/>
      <x:c r="N6" s="40" t="n">
        <x:v>60</x:v>
      </x:c>
      <x:c r="O6" s="18" t="str">
        <x:v>R</x:v>
      </x:c>
      <x:c r="P6" s="39" t="n">
        <x:v>22.5</x:v>
      </x:c>
      <x:c r="Q6" s="18" t="n">
        <x:v>16</x:v>
      </x:c>
      <x:c r="R6" s="39" t="n">
        <x:v>15</x:v>
      </x:c>
      <x:c r="S6" s="41" t="n">
        <x:v>19</x:v>
      </x:c>
      <x:c r="T6" s="39" t="n">
        <x:v>9.75</x:v>
      </x:c>
      <x:c r="U6" s="19" t="n">
        <x:v>900</x:v>
      </x:c>
      <x:c r="V6" s="19" t="n">
        <x:v>900</x:v>
      </x:c>
      <x:c r="W6" s="19" t="str">
        <x:v>PSI</x:v>
      </x:c>
      <x:c r="X6" s="18" t="n">
        <x:v>900</x:v>
      </x:c>
      <x:c r="Y6" s="18" t="n">
        <x:v>900</x:v>
      </x:c>
      <x:c r="Z6" s="39" t="n">
        <x:f>ROUND(X6/100,1)</x:f>
        <x:v>9</x:v>
      </x:c>
      <x:c r="AA6" s="39" t="n">
        <x:f>ROUND(Y6/100,1)</x:f>
        <x:v>9</x:v>
      </x:c>
      <x:c r="AB6" s="39" t="n">
        <x:f>ROUND(X6*0.1450377377,1)</x:f>
        <x:v>130.5</x:v>
      </x:c>
      <x:c r="AC6" s="39" t="n">
        <x:f>ROUND(Y6*0.1450377377,1)</x:f>
        <x:v>130.5</x:v>
      </x:c>
      <x:c r="AD6" s="19" t="str">
        <x:v>verified</x:v>
      </x:c>
      <x:c r="AE6" s="19" t="n">
        <x:v>3750</x:v>
      </x:c>
      <x:c r="AF6" s="19" t="n">
        <x:v>3150</x:v>
      </x:c>
      <x:c r="AG6" s="19" t="str">
        <x:v>LBS</x:v>
      </x:c>
      <x:c r="AH6" s="18" t="n">
        <x:v>3750</x:v>
      </x:c>
      <x:c r="AI6" s="18" t="n">
        <x:v>3150</x:v>
      </x:c>
      <x:c r="AJ6" s="18" t="n">
        <x:f>ROUND(AH6*2.2046226218,0)</x:f>
        <x:v>8267</x:v>
      </x:c>
      <x:c r="AK6" s="18" t="n">
        <x:f>ROUND(AI6*2.2046226218,0)</x:f>
        <x:v>6945</x:v>
      </x:c>
      <x:c r="AL6" s="19" t="str">
        <x:v>verified</x:v>
      </x:c>
      <x:c r="AM6" s="18" t="n">
        <x:v>154</x:v>
      </x:c>
      <x:c r="AN6" s="18" t="n">
        <x:v>148</x:v>
      </x:c>
      <x:c r="AO6" s="19" t="str">
        <x:v>154 / 148</x:v>
      </x:c>
      <x:c r="AP6" s="18"/>
      <x:c r="AQ6" s="18" t="str">
        <x:v>L</x:v>
      </x:c>
      <x:c r="AR6" s="18"/>
      <x:c r="AS6" s="19" t="str">
        <x:v>154/148 L</x:v>
      </x:c>
      <x:c r="AT6" s="19" t="str">
        <x:v>verified</x:v>
      </x:c>
      <x:c r="AU6" s="39" t="n">
        <x:v>950</x:v>
      </x:c>
      <x:c r="AV6" s="19" t="n">
        <x:v>37</x:v>
      </x:c>
      <x:c r="AW6" s="42" t="n">
        <x:f>ROUND(AU6/25.4,2)</x:f>
        <x:v>37.4</x:v>
      </x:c>
      <x:c r="AX6" s="39" t="n">
        <x:v>313</x:v>
      </x:c>
      <x:c r="AY6" s="19" t="n">
        <x:v>12</x:v>
      </x:c>
      <x:c r="AZ6" s="42" t="n">
        <x:f>ROUND(AX6/25.4,2)</x:f>
        <x:v>12.32</x:v>
      </x:c>
      <x:c r="BA6" s="28" t="b">
        <x:v>1</x:v>
      </x:c>
      <x:c r="BB6" s="28" t="b">
        <x:v>0</x:v>
      </x:c>
      <x:c r="BC6" s="28" t="b">
        <x:v>1</x:v>
      </x:c>
      <x:c r="BD6" s="18" t="str">
        <x:v>["long-haul","regional"]</x:v>
      </x:c>
      <x:c r="BE6" s="18" t="str">
        <x:v>["handling","safety","high-mileage"]</x:v>
      </x:c>
      <x:c r="BF6" s="43" t="b">
        <x:v>1</x:v>
      </x:c>
      <x:c r="BG6" s="19" t="str">
        <x:v>DOUBLESTAR COMBODIA TBR CATALOGUE.pdf</x:v>
      </x:c>
      <x:c r="BH6" s="19" t="n">
        <x:v>4</x:v>
      </x:c>
      <x:c r="BI6" s="19" t="n">
        <x:v>5</x:v>
      </x:c>
      <x:c r="BJ6" s="19" t="str">
        <x:v>DLA968</x:v>
      </x:c>
      <x:c r="BK6" s="19" t="str">
        <x:v>{"Size":"315/60R22.5","PR":16,"Tread Depth mm":15,"Tread Depth 1/32in":19,"Standard Rim":9.75,"Pressure(PSI) Single":900,"Pressure(PSI) Dual":900,"Max. Load(LBS) Single":3750,"Max. Load(LBS) Dual":3150,"Load Index Single":"154","Load Index Dual":"148","Speed Grade":"L","Overall Diameter mm":950,"Section Width mm":313,"Overall Diameter inch":37,"Section Width inch":12}</x:v>
      </x:c>
      <x:c r="BL6" s="19" t="str">
        <x:v>verified</x:v>
      </x:c>
      <x:c r="BM6" s="18" t="str">
        <x:v>[]</x:v>
      </x:c>
      <x:c r="BN6" s="18" t="str">
        <x:v>unique</x:v>
      </x:c>
      <x:c r="BO6" s="28" t="b">
        <x:v>0</x:v>
      </x:c>
      <x:c r="BP6" s="30" t="n">
        <x:v>46229</x:v>
      </x:c>
      <x:c r="BQ6" s="30" t="n">
        <x:v>46229.270833333336</x:v>
      </x:c>
    </x:row>
    <x:row r="7">
      <x:c r="A7" s="20" t="str">
        <x:v>BIZON-VAR-DLA968-28570R195-18PR</x:v>
      </x:c>
      <x:c r="B7" s="20" t="str">
        <x:v>BIZON-MODEL-DLA968</x:v>
      </x:c>
      <x:c r="C7" s="20" t="str">
        <x:v>BIZON</x:v>
      </x:c>
      <x:c r="D7" s="20" t="str">
        <x:v>DLA968</x:v>
      </x:c>
      <x:c r="E7" s="20" t="str">
        <x:v>BIZON-DLA968-28570R195-18PR</x:v>
      </x:c>
      <x:c r="F7" s="20" t="str"/>
      <x:c r="G7" s="20" t="str">
        <x:v>active</x:v>
      </x:c>
      <x:c r="H7" s="20" t="str">
        <x:v>draft</x:v>
      </x:c>
      <x:c r="I7" s="19" t="str">
        <x:v>285/70R19.5</x:v>
      </x:c>
      <x:c r="J7" s="20" t="str">
        <x:v>285/70R19.5</x:v>
      </x:c>
      <x:c r="K7" s="20" t="str">
        <x:v>metric</x:v>
      </x:c>
      <x:c r="L7" s="44" t="n">
        <x:v>285</x:v>
      </x:c>
      <x:c r="M7" s="44"/>
      <x:c r="N7" s="45" t="n">
        <x:v>70</x:v>
      </x:c>
      <x:c r="O7" s="20" t="str">
        <x:v>R</x:v>
      </x:c>
      <x:c r="P7" s="44" t="n">
        <x:v>19.5</x:v>
      </x:c>
      <x:c r="Q7" s="20" t="n">
        <x:v>18</x:v>
      </x:c>
      <x:c r="R7" s="44" t="n">
        <x:v>14</x:v>
      </x:c>
      <x:c r="S7" s="41" t="n">
        <x:v>18</x:v>
      </x:c>
      <x:c r="T7" s="44" t="n">
        <x:v>8.25</x:v>
      </x:c>
      <x:c r="U7" s="19" t="n">
        <x:v>900</x:v>
      </x:c>
      <x:c r="V7" s="19" t="n">
        <x:v>900</x:v>
      </x:c>
      <x:c r="W7" s="19" t="str">
        <x:v>PSI</x:v>
      </x:c>
      <x:c r="X7" s="20" t="n">
        <x:v>900</x:v>
      </x:c>
      <x:c r="Y7" s="20" t="n">
        <x:v>900</x:v>
      </x:c>
      <x:c r="Z7" s="44" t="n">
        <x:f>ROUND(X7/100,1)</x:f>
        <x:v>9</x:v>
      </x:c>
      <x:c r="AA7" s="44" t="n">
        <x:f>ROUND(Y7/100,1)</x:f>
        <x:v>9</x:v>
      </x:c>
      <x:c r="AB7" s="44" t="n">
        <x:f>ROUND(X7*0.1450377377,1)</x:f>
        <x:v>130.5</x:v>
      </x:c>
      <x:c r="AC7" s="44" t="n">
        <x:f>ROUND(Y7*0.1450377377,1)</x:f>
        <x:v>130.5</x:v>
      </x:c>
      <x:c r="AD7" s="19" t="str">
        <x:v>verified</x:v>
      </x:c>
      <x:c r="AE7" s="19" t="n">
        <x:v>3350</x:v>
      </x:c>
      <x:c r="AF7" s="19" t="n">
        <x:v>3150</x:v>
      </x:c>
      <x:c r="AG7" s="19" t="str">
        <x:v>LBS</x:v>
      </x:c>
      <x:c r="AH7" s="20" t="n">
        <x:v>3350</x:v>
      </x:c>
      <x:c r="AI7" s="20" t="n">
        <x:v>3150</x:v>
      </x:c>
      <x:c r="AJ7" s="20" t="n">
        <x:f>ROUND(AH7*2.2046226218,0)</x:f>
        <x:v>7385</x:v>
      </x:c>
      <x:c r="AK7" s="20" t="n">
        <x:f>ROUND(AI7*2.2046226218,0)</x:f>
        <x:v>6945</x:v>
      </x:c>
      <x:c r="AL7" s="19" t="str">
        <x:v>verified</x:v>
      </x:c>
      <x:c r="AM7" s="20" t="n">
        <x:v>150</x:v>
      </x:c>
      <x:c r="AN7" s="20" t="n">
        <x:v>148</x:v>
      </x:c>
      <x:c r="AO7" s="19" t="str">
        <x:v>150 / 148</x:v>
      </x:c>
      <x:c r="AP7" s="20"/>
      <x:c r="AQ7" s="20" t="str">
        <x:v>K</x:v>
      </x:c>
      <x:c r="AR7" s="20"/>
      <x:c r="AS7" s="19" t="str">
        <x:v>150/148 K</x:v>
      </x:c>
      <x:c r="AT7" s="19" t="str">
        <x:v>verified</x:v>
      </x:c>
      <x:c r="AU7" s="44" t="n">
        <x:v>895</x:v>
      </x:c>
      <x:c r="AV7" s="19" t="n">
        <x:v>35</x:v>
      </x:c>
      <x:c r="AW7" s="42" t="n">
        <x:f>ROUND(AU7/25.4,2)</x:f>
        <x:v>35.24</x:v>
      </x:c>
      <x:c r="AX7" s="44" t="n">
        <x:v>283</x:v>
      </x:c>
      <x:c r="AY7" s="19" t="n">
        <x:v>11</x:v>
      </x:c>
      <x:c r="AZ7" s="42" t="n">
        <x:f>ROUND(AX7/25.4,2)</x:f>
        <x:v>11.14</x:v>
      </x:c>
      <x:c r="BA7" s="31" t="b">
        <x:v>1</x:v>
      </x:c>
      <x:c r="BB7" s="31" t="b">
        <x:v>0</x:v>
      </x:c>
      <x:c r="BC7" s="31" t="b">
        <x:v>1</x:v>
      </x:c>
      <x:c r="BD7" s="20" t="str">
        <x:v>["long-haul","regional"]</x:v>
      </x:c>
      <x:c r="BE7" s="20" t="str">
        <x:v>["handling","safety","high-mileage"]</x:v>
      </x:c>
      <x:c r="BF7" s="43" t="b">
        <x:v>1</x:v>
      </x:c>
      <x:c r="BG7" s="19" t="str">
        <x:v>DOUBLESTAR COMBODIA TBR CATALOGUE.pdf</x:v>
      </x:c>
      <x:c r="BH7" s="19" t="n">
        <x:v>4</x:v>
      </x:c>
      <x:c r="BI7" s="19" t="n">
        <x:v>6</x:v>
      </x:c>
      <x:c r="BJ7" s="19" t="str">
        <x:v>DLA968</x:v>
      </x:c>
      <x:c r="BK7" s="19" t="str">
        <x:v>{"Size":"285/70R19.5","PR":18,"Tread Depth mm":14,"Tread Depth 1/32in":18,"Standard Rim":8.25,"Pressure(PSI) Single":900,"Pressure(PSI) Dual":900,"Max. Load(LBS) Single":3350,"Max. Load(LBS) Dual":3150,"Load Index Single":"150","Load Index Dual":"148","Speed Grade":"K","Overall Diameter mm":895,"Section Width mm":283,"Overall Diameter inch":35,"Section Width inch":11}</x:v>
      </x:c>
      <x:c r="BL7" s="19" t="str">
        <x:v>verified</x:v>
      </x:c>
      <x:c r="BM7" s="20" t="str">
        <x:v>[]</x:v>
      </x:c>
      <x:c r="BN7" s="20" t="str">
        <x:v>unique</x:v>
      </x:c>
      <x:c r="BO7" s="31" t="b">
        <x:v>0</x:v>
      </x:c>
      <x:c r="BP7" s="30" t="n">
        <x:v>46229</x:v>
      </x:c>
      <x:c r="BQ7" s="30" t="n">
        <x:v>46229.270833333336</x:v>
      </x:c>
    </x:row>
    <x:row r="8">
      <x:c r="A8" s="18" t="str">
        <x:v>BIZON-VAR-DLA968-26570R195-16PR</x:v>
      </x:c>
      <x:c r="B8" s="18" t="str">
        <x:v>BIZON-MODEL-DLA968</x:v>
      </x:c>
      <x:c r="C8" s="18" t="str">
        <x:v>BIZON</x:v>
      </x:c>
      <x:c r="D8" s="18" t="str">
        <x:v>DLA968</x:v>
      </x:c>
      <x:c r="E8" s="18" t="str">
        <x:v>BIZON-DLA968-26570R195-16PR</x:v>
      </x:c>
      <x:c r="F8" s="18" t="str"/>
      <x:c r="G8" s="18" t="str">
        <x:v>active</x:v>
      </x:c>
      <x:c r="H8" s="18" t="str">
        <x:v>draft</x:v>
      </x:c>
      <x:c r="I8" s="19" t="str">
        <x:v>265/70R19.5</x:v>
      </x:c>
      <x:c r="J8" s="18" t="str">
        <x:v>265/70R19.5</x:v>
      </x:c>
      <x:c r="K8" s="18" t="str">
        <x:v>metric</x:v>
      </x:c>
      <x:c r="L8" s="39" t="n">
        <x:v>265</x:v>
      </x:c>
      <x:c r="M8" s="39"/>
      <x:c r="N8" s="40" t="n">
        <x:v>70</x:v>
      </x:c>
      <x:c r="O8" s="18" t="str">
        <x:v>R</x:v>
      </x:c>
      <x:c r="P8" s="39" t="n">
        <x:v>19.5</x:v>
      </x:c>
      <x:c r="Q8" s="18" t="n">
        <x:v>16</x:v>
      </x:c>
      <x:c r="R8" s="39" t="n">
        <x:v>14</x:v>
      </x:c>
      <x:c r="S8" s="41" t="n">
        <x:v>18</x:v>
      </x:c>
      <x:c r="T8" s="39" t="n">
        <x:v>7.5</x:v>
      </x:c>
      <x:c r="U8" s="19" t="n">
        <x:v>850</x:v>
      </x:c>
      <x:c r="V8" s="19" t="n">
        <x:v>850</x:v>
      </x:c>
      <x:c r="W8" s="19" t="str">
        <x:v>PSI</x:v>
      </x:c>
      <x:c r="X8" s="18" t="n">
        <x:v>850</x:v>
      </x:c>
      <x:c r="Y8" s="18" t="n">
        <x:v>850</x:v>
      </x:c>
      <x:c r="Z8" s="39" t="n">
        <x:f>ROUND(X8/100,1)</x:f>
        <x:v>8.5</x:v>
      </x:c>
      <x:c r="AA8" s="39" t="n">
        <x:f>ROUND(Y8/100,1)</x:f>
        <x:v>8.5</x:v>
      </x:c>
      <x:c r="AB8" s="39" t="n">
        <x:f>ROUND(X8*0.1450377377,1)</x:f>
        <x:v>123.3</x:v>
      </x:c>
      <x:c r="AC8" s="39" t="n">
        <x:f>ROUND(Y8*0.1450377377,1)</x:f>
        <x:v>123.3</x:v>
      </x:c>
      <x:c r="AD8" s="19" t="str">
        <x:v>verified</x:v>
      </x:c>
      <x:c r="AE8" s="19" t="n">
        <x:v>2500</x:v>
      </x:c>
      <x:c r="AF8" s="19" t="n">
        <x:v>2360</x:v>
      </x:c>
      <x:c r="AG8" s="19" t="str">
        <x:v>LBS</x:v>
      </x:c>
      <x:c r="AH8" s="18" t="n">
        <x:v>2500</x:v>
      </x:c>
      <x:c r="AI8" s="18" t="n">
        <x:v>2360</x:v>
      </x:c>
      <x:c r="AJ8" s="18" t="n">
        <x:f>ROUND(AH8*2.2046226218,0)</x:f>
        <x:v>5512</x:v>
      </x:c>
      <x:c r="AK8" s="18" t="n">
        <x:f>ROUND(AI8*2.2046226218,0)</x:f>
        <x:v>5203</x:v>
      </x:c>
      <x:c r="AL8" s="19" t="str">
        <x:v>verified</x:v>
      </x:c>
      <x:c r="AM8" s="18" t="n">
        <x:v>140</x:v>
      </x:c>
      <x:c r="AN8" s="18" t="n">
        <x:v>138</x:v>
      </x:c>
      <x:c r="AO8" s="19" t="str">
        <x:v>140 / 138</x:v>
      </x:c>
      <x:c r="AP8" s="18"/>
      <x:c r="AQ8" s="18" t="str">
        <x:v>M</x:v>
      </x:c>
      <x:c r="AR8" s="18"/>
      <x:c r="AS8" s="19" t="str">
        <x:v>140/138 M</x:v>
      </x:c>
      <x:c r="AT8" s="19" t="str">
        <x:v>verified</x:v>
      </x:c>
      <x:c r="AU8" s="39" t="n">
        <x:v>867</x:v>
      </x:c>
      <x:c r="AV8" s="19" t="n">
        <x:v>34</x:v>
      </x:c>
      <x:c r="AW8" s="42" t="n">
        <x:f>ROUND(AU8/25.4,2)</x:f>
        <x:v>34.13</x:v>
      </x:c>
      <x:c r="AX8" s="39" t="n">
        <x:v>262</x:v>
      </x:c>
      <x:c r="AY8" s="19" t="n">
        <x:v>10</x:v>
      </x:c>
      <x:c r="AZ8" s="42" t="n">
        <x:f>ROUND(AX8/25.4,2)</x:f>
        <x:v>10.31</x:v>
      </x:c>
      <x:c r="BA8" s="28" t="b">
        <x:v>1</x:v>
      </x:c>
      <x:c r="BB8" s="28" t="b">
        <x:v>0</x:v>
      </x:c>
      <x:c r="BC8" s="28" t="b">
        <x:v>1</x:v>
      </x:c>
      <x:c r="BD8" s="18" t="str">
        <x:v>["long-haul","regional"]</x:v>
      </x:c>
      <x:c r="BE8" s="18" t="str">
        <x:v>["handling","safety","high-mileage"]</x:v>
      </x:c>
      <x:c r="BF8" s="43" t="b">
        <x:v>1</x:v>
      </x:c>
      <x:c r="BG8" s="19" t="str">
        <x:v>DOUBLESTAR COMBODIA TBR CATALOGUE.pdf</x:v>
      </x:c>
      <x:c r="BH8" s="19" t="n">
        <x:v>4</x:v>
      </x:c>
      <x:c r="BI8" s="19" t="n">
        <x:v>7</x:v>
      </x:c>
      <x:c r="BJ8" s="19" t="str">
        <x:v>DLA968</x:v>
      </x:c>
      <x:c r="BK8" s="19" t="str">
        <x:v>{"Size":"265/70R19.5","PR":16,"Tread Depth mm":14,"Tread Depth 1/32in":18,"Standard Rim":7.5,"Pressure(PSI) Single":850,"Pressure(PSI) Dual":850,"Max. Load(LBS) Single":2500,"Max. Load(LBS) Dual":2360,"Load Index Single":"140","Load Index Dual":"138","Speed Grade":"M","Overall Diameter mm":867,"Section Width mm":262,"Overall Diameter inch":34,"Section Width inch":10}</x:v>
      </x:c>
      <x:c r="BL8" s="19" t="str">
        <x:v>verified</x:v>
      </x:c>
      <x:c r="BM8" s="18" t="str">
        <x:v>[]</x:v>
      </x:c>
      <x:c r="BN8" s="18" t="str">
        <x:v>unique</x:v>
      </x:c>
      <x:c r="BO8" s="28" t="b">
        <x:v>0</x:v>
      </x:c>
      <x:c r="BP8" s="30" t="n">
        <x:v>46229</x:v>
      </x:c>
      <x:c r="BQ8" s="30" t="n">
        <x:v>46229.270833333336</x:v>
      </x:c>
    </x:row>
    <x:row r="9">
      <x:c r="A9" s="20" t="str">
        <x:v>BIZON-VAR-DLA968-23575R175-16PR</x:v>
      </x:c>
      <x:c r="B9" s="20" t="str">
        <x:v>BIZON-MODEL-DLA968</x:v>
      </x:c>
      <x:c r="C9" s="20" t="str">
        <x:v>BIZON</x:v>
      </x:c>
      <x:c r="D9" s="20" t="str">
        <x:v>DLA968</x:v>
      </x:c>
      <x:c r="E9" s="20" t="str">
        <x:v>BIZON-DLA968-23575R175-16PR</x:v>
      </x:c>
      <x:c r="F9" s="20" t="str"/>
      <x:c r="G9" s="20" t="str">
        <x:v>active</x:v>
      </x:c>
      <x:c r="H9" s="20" t="str">
        <x:v>draft</x:v>
      </x:c>
      <x:c r="I9" s="19" t="str">
        <x:v>235/75R17.5</x:v>
      </x:c>
      <x:c r="J9" s="20" t="str">
        <x:v>235/75R17.5</x:v>
      </x:c>
      <x:c r="K9" s="20" t="str">
        <x:v>metric</x:v>
      </x:c>
      <x:c r="L9" s="44" t="n">
        <x:v>235</x:v>
      </x:c>
      <x:c r="M9" s="44"/>
      <x:c r="N9" s="45" t="n">
        <x:v>75</x:v>
      </x:c>
      <x:c r="O9" s="20" t="str">
        <x:v>R</x:v>
      </x:c>
      <x:c r="P9" s="44" t="n">
        <x:v>17.5</x:v>
      </x:c>
      <x:c r="Q9" s="20" t="n">
        <x:v>16</x:v>
      </x:c>
      <x:c r="R9" s="44" t="n">
        <x:v>13</x:v>
      </x:c>
      <x:c r="S9" s="41" t="n">
        <x:v>16</x:v>
      </x:c>
      <x:c r="T9" s="44" t="n">
        <x:v>6.75</x:v>
      </x:c>
      <x:c r="U9" s="19" t="n">
        <x:v>875</x:v>
      </x:c>
      <x:c r="V9" s="19" t="n">
        <x:v>875</x:v>
      </x:c>
      <x:c r="W9" s="19" t="str">
        <x:v>PSI</x:v>
      </x:c>
      <x:c r="X9" s="20" t="n">
        <x:v>875</x:v>
      </x:c>
      <x:c r="Y9" s="20" t="n">
        <x:v>875</x:v>
      </x:c>
      <x:c r="Z9" s="44" t="n">
        <x:f>ROUND(X9/100,1)</x:f>
        <x:v>8.8</x:v>
      </x:c>
      <x:c r="AA9" s="44" t="n">
        <x:f>ROUND(Y9/100,1)</x:f>
        <x:v>8.8</x:v>
      </x:c>
      <x:c r="AB9" s="44" t="n">
        <x:f>ROUND(X9*0.1450377377,1)</x:f>
        <x:v>126.9</x:v>
      </x:c>
      <x:c r="AC9" s="44" t="n">
        <x:f>ROUND(Y9*0.1450377377,1)</x:f>
        <x:v>126.9</x:v>
      </x:c>
      <x:c r="AD9" s="19" t="str">
        <x:v>verified</x:v>
      </x:c>
      <x:c r="AE9" s="19" t="n">
        <x:v>2000</x:v>
      </x:c>
      <x:c r="AF9" s="19" t="n">
        <x:v>1900</x:v>
      </x:c>
      <x:c r="AG9" s="19" t="str">
        <x:v>LBS</x:v>
      </x:c>
      <x:c r="AH9" s="20" t="n">
        <x:v>2000</x:v>
      </x:c>
      <x:c r="AI9" s="20" t="n">
        <x:v>1900</x:v>
      </x:c>
      <x:c r="AJ9" s="20" t="n">
        <x:f>ROUND(AH9*2.2046226218,0)</x:f>
        <x:v>4409</x:v>
      </x:c>
      <x:c r="AK9" s="20" t="n">
        <x:f>ROUND(AI9*2.2046226218,0)</x:f>
        <x:v>4189</x:v>
      </x:c>
      <x:c r="AL9" s="19" t="str">
        <x:v>verified</x:v>
      </x:c>
      <x:c r="AM9" s="20" t="n">
        <x:v>132</x:v>
      </x:c>
      <x:c r="AN9" s="20" t="n">
        <x:v>130</x:v>
      </x:c>
      <x:c r="AO9" s="19" t="str">
        <x:v>132 / 130</x:v>
      </x:c>
      <x:c r="AP9" s="20"/>
      <x:c r="AQ9" s="20" t="str">
        <x:v>M</x:v>
      </x:c>
      <x:c r="AR9" s="20"/>
      <x:c r="AS9" s="19" t="str">
        <x:v>132/130 M</x:v>
      </x:c>
      <x:c r="AT9" s="19" t="str">
        <x:v>verified</x:v>
      </x:c>
      <x:c r="AU9" s="44" t="n">
        <x:v>797</x:v>
      </x:c>
      <x:c r="AV9" s="19" t="n">
        <x:v>31</x:v>
      </x:c>
      <x:c r="AW9" s="42" t="n">
        <x:f>ROUND(AU9/25.4,2)</x:f>
        <x:v>31.38</x:v>
      </x:c>
      <x:c r="AX9" s="44" t="n">
        <x:v>233</x:v>
      </x:c>
      <x:c r="AY9" s="19" t="n">
        <x:v>9</x:v>
      </x:c>
      <x:c r="AZ9" s="42" t="n">
        <x:f>ROUND(AX9/25.4,2)</x:f>
        <x:v>9.17</x:v>
      </x:c>
      <x:c r="BA9" s="31" t="b">
        <x:v>1</x:v>
      </x:c>
      <x:c r="BB9" s="31" t="b">
        <x:v>0</x:v>
      </x:c>
      <x:c r="BC9" s="31" t="b">
        <x:v>1</x:v>
      </x:c>
      <x:c r="BD9" s="20" t="str">
        <x:v>["long-haul","regional"]</x:v>
      </x:c>
      <x:c r="BE9" s="20" t="str">
        <x:v>["handling","safety","high-mileage"]</x:v>
      </x:c>
      <x:c r="BF9" s="43" t="b">
        <x:v>1</x:v>
      </x:c>
      <x:c r="BG9" s="19" t="str">
        <x:v>DOUBLESTAR COMBODIA TBR CATALOGUE.pdf</x:v>
      </x:c>
      <x:c r="BH9" s="19" t="n">
        <x:v>4</x:v>
      </x:c>
      <x:c r="BI9" s="19" t="n">
        <x:v>8</x:v>
      </x:c>
      <x:c r="BJ9" s="19" t="str">
        <x:v>DLA968</x:v>
      </x:c>
      <x:c r="BK9" s="19" t="str">
        <x:v>{"Size":"235/75R17.5","PR":16,"Tread Depth mm":13,"Tread Depth 1/32in":16,"Standard Rim":6.75,"Pressure(PSI) Single":875,"Pressure(PSI) Dual":875,"Max. Load(LBS) Single":2000,"Max. Load(LBS) Dual":1900,"Load Index Single":"132","Load Index Dual":"130","Speed Grade":"M","Overall Diameter mm":797,"Section Width mm":233,"Overall Diameter inch":31,"Section Width inch":9}</x:v>
      </x:c>
      <x:c r="BL9" s="19" t="str">
        <x:v>verified</x:v>
      </x:c>
      <x:c r="BM9" s="20" t="str">
        <x:v>[]</x:v>
      </x:c>
      <x:c r="BN9" s="20" t="str">
        <x:v>unique</x:v>
      </x:c>
      <x:c r="BO9" s="31" t="b">
        <x:v>0</x:v>
      </x:c>
      <x:c r="BP9" s="30" t="n">
        <x:v>46229</x:v>
      </x:c>
      <x:c r="BQ9" s="30" t="n">
        <x:v>46229.270833333336</x:v>
      </x:c>
    </x:row>
    <x:row r="10">
      <x:c r="A10" s="18" t="str">
        <x:v>BIZON-VAR-DLA968-21575R175-14PR</x:v>
      </x:c>
      <x:c r="B10" s="18" t="str">
        <x:v>BIZON-MODEL-DLA968</x:v>
      </x:c>
      <x:c r="C10" s="18" t="str">
        <x:v>BIZON</x:v>
      </x:c>
      <x:c r="D10" s="18" t="str">
        <x:v>DLA968</x:v>
      </x:c>
      <x:c r="E10" s="18" t="str">
        <x:v>BIZON-DLA968-21575R175-14PR</x:v>
      </x:c>
      <x:c r="F10" s="18" t="str"/>
      <x:c r="G10" s="18" t="str">
        <x:v>active</x:v>
      </x:c>
      <x:c r="H10" s="18" t="str">
        <x:v>draft</x:v>
      </x:c>
      <x:c r="I10" s="19" t="str">
        <x:v>215/75R17.5</x:v>
      </x:c>
      <x:c r="J10" s="18" t="str">
        <x:v>215/75R17.5</x:v>
      </x:c>
      <x:c r="K10" s="18" t="str">
        <x:v>metric</x:v>
      </x:c>
      <x:c r="L10" s="39" t="n">
        <x:v>215</x:v>
      </x:c>
      <x:c r="M10" s="39"/>
      <x:c r="N10" s="40" t="n">
        <x:v>75</x:v>
      </x:c>
      <x:c r="O10" s="18" t="str">
        <x:v>R</x:v>
      </x:c>
      <x:c r="P10" s="39" t="n">
        <x:v>17.5</x:v>
      </x:c>
      <x:c r="Q10" s="18" t="n">
        <x:v>14</x:v>
      </x:c>
      <x:c r="R10" s="39" t="n">
        <x:v>13</x:v>
      </x:c>
      <x:c r="S10" s="41" t="n">
        <x:v>16</x:v>
      </x:c>
      <x:c r="T10" s="39" t="n">
        <x:v>6</x:v>
      </x:c>
      <x:c r="U10" s="19" t="n">
        <x:v>700</x:v>
      </x:c>
      <x:c r="V10" s="19" t="n">
        <x:v>700</x:v>
      </x:c>
      <x:c r="W10" s="19" t="str">
        <x:v>PSI</x:v>
      </x:c>
      <x:c r="X10" s="18" t="n">
        <x:v>700</x:v>
      </x:c>
      <x:c r="Y10" s="18" t="n">
        <x:v>700</x:v>
      </x:c>
      <x:c r="Z10" s="39" t="n">
        <x:f>ROUND(X10/100,1)</x:f>
        <x:v>7</x:v>
      </x:c>
      <x:c r="AA10" s="39" t="n">
        <x:f>ROUND(Y10/100,1)</x:f>
        <x:v>7</x:v>
      </x:c>
      <x:c r="AB10" s="39" t="n">
        <x:f>ROUND(X10*0.1450377377,1)</x:f>
        <x:v>101.5</x:v>
      </x:c>
      <x:c r="AC10" s="39" t="n">
        <x:f>ROUND(Y10*0.1450377377,1)</x:f>
        <x:v>101.5</x:v>
      </x:c>
      <x:c r="AD10" s="19" t="str">
        <x:v>verified</x:v>
      </x:c>
      <x:c r="AE10" s="19" t="n">
        <x:v>1800</x:v>
      </x:c>
      <x:c r="AF10" s="19" t="n">
        <x:v>1700</x:v>
      </x:c>
      <x:c r="AG10" s="19" t="str">
        <x:v>LBS</x:v>
      </x:c>
      <x:c r="AH10" s="18" t="n">
        <x:v>1800</x:v>
      </x:c>
      <x:c r="AI10" s="18" t="n">
        <x:v>1700</x:v>
      </x:c>
      <x:c r="AJ10" s="18" t="n">
        <x:f>ROUND(AH10*2.2046226218,0)</x:f>
        <x:v>3968</x:v>
      </x:c>
      <x:c r="AK10" s="18" t="n">
        <x:f>ROUND(AI10*2.2046226218,0)</x:f>
        <x:v>3748</x:v>
      </x:c>
      <x:c r="AL10" s="19" t="str">
        <x:v>verified</x:v>
      </x:c>
      <x:c r="AM10" s="18" t="n">
        <x:v>128</x:v>
      </x:c>
      <x:c r="AN10" s="18" t="n">
        <x:v>126</x:v>
      </x:c>
      <x:c r="AO10" s="19" t="str">
        <x:v>128 / 126</x:v>
      </x:c>
      <x:c r="AP10" s="18"/>
      <x:c r="AQ10" s="18" t="str">
        <x:v>M</x:v>
      </x:c>
      <x:c r="AR10" s="18"/>
      <x:c r="AS10" s="19" t="str">
        <x:v>128/126 M</x:v>
      </x:c>
      <x:c r="AT10" s="19" t="str">
        <x:v>verified</x:v>
      </x:c>
      <x:c r="AU10" s="39" t="n">
        <x:v>767</x:v>
      </x:c>
      <x:c r="AV10" s="19" t="n">
        <x:v>30</x:v>
      </x:c>
      <x:c r="AW10" s="42" t="n">
        <x:f>ROUND(AU10/25.4,2)</x:f>
        <x:v>30.2</x:v>
      </x:c>
      <x:c r="AX10" s="39" t="n">
        <x:v>211</x:v>
      </x:c>
      <x:c r="AY10" s="19" t="n">
        <x:v>8</x:v>
      </x:c>
      <x:c r="AZ10" s="42" t="n">
        <x:f>ROUND(AX10/25.4,2)</x:f>
        <x:v>8.31</x:v>
      </x:c>
      <x:c r="BA10" s="28" t="b">
        <x:v>1</x:v>
      </x:c>
      <x:c r="BB10" s="28" t="b">
        <x:v>0</x:v>
      </x:c>
      <x:c r="BC10" s="28" t="b">
        <x:v>1</x:v>
      </x:c>
      <x:c r="BD10" s="18" t="str">
        <x:v>["long-haul","regional"]</x:v>
      </x:c>
      <x:c r="BE10" s="18" t="str">
        <x:v>["handling","safety","high-mileage"]</x:v>
      </x:c>
      <x:c r="BF10" s="43" t="b">
        <x:v>1</x:v>
      </x:c>
      <x:c r="BG10" s="19" t="str">
        <x:v>DOUBLESTAR COMBODIA TBR CATALOGUE.pdf</x:v>
      </x:c>
      <x:c r="BH10" s="19" t="n">
        <x:v>4</x:v>
      </x:c>
      <x:c r="BI10" s="19" t="n">
        <x:v>9</x:v>
      </x:c>
      <x:c r="BJ10" s="19" t="str">
        <x:v>DLA968</x:v>
      </x:c>
      <x:c r="BK10" s="19" t="str">
        <x:v>{"Size":"215/75R17.5","PR":14,"Tread Depth mm":13,"Tread Depth 1/32in":16,"Standard Rim":6,"Pressure(PSI) Single":700,"Pressure(PSI) Dual":700,"Max. Load(LBS) Single":1800,"Max. Load(LBS) Dual":1700,"Load Index Single":"128","Load Index Dual":"126","Speed Grade":"M","Overall Diameter mm":767,"Section Width mm":211,"Overall Diameter inch":30,"Section Width inch":8}</x:v>
      </x:c>
      <x:c r="BL10" s="19" t="str">
        <x:v>verified</x:v>
      </x:c>
      <x:c r="BM10" s="18" t="str">
        <x:v>[]</x:v>
      </x:c>
      <x:c r="BN10" s="18" t="str">
        <x:v>unique</x:v>
      </x:c>
      <x:c r="BO10" s="28" t="b">
        <x:v>0</x:v>
      </x:c>
      <x:c r="BP10" s="30" t="n">
        <x:v>46229</x:v>
      </x:c>
      <x:c r="BQ10" s="30" t="n">
        <x:v>46229.270833333336</x:v>
      </x:c>
    </x:row>
    <x:row r="11">
      <x:c r="A11" s="20" t="str">
        <x:v>BIZON-VAR-DSR266-31570R225-18PR</x:v>
      </x:c>
      <x:c r="B11" s="20" t="str">
        <x:v>BIZON-MODEL-DSR266</x:v>
      </x:c>
      <x:c r="C11" s="20" t="str">
        <x:v>BIZON</x:v>
      </x:c>
      <x:c r="D11" s="20" t="str">
        <x:v>DSR266</x:v>
      </x:c>
      <x:c r="E11" s="20" t="str">
        <x:v>BIZON-DSR266-31570R225-18PR</x:v>
      </x:c>
      <x:c r="F11" s="20" t="str"/>
      <x:c r="G11" s="20" t="str">
        <x:v>active</x:v>
      </x:c>
      <x:c r="H11" s="20" t="str">
        <x:v>draft</x:v>
      </x:c>
      <x:c r="I11" s="19" t="str">
        <x:v>315/70R22.5</x:v>
      </x:c>
      <x:c r="J11" s="20" t="str">
        <x:v>315/70R22.5</x:v>
      </x:c>
      <x:c r="K11" s="20" t="str">
        <x:v>metric</x:v>
      </x:c>
      <x:c r="L11" s="44" t="n">
        <x:v>315</x:v>
      </x:c>
      <x:c r="M11" s="44"/>
      <x:c r="N11" s="45" t="n">
        <x:v>70</x:v>
      </x:c>
      <x:c r="O11" s="20" t="str">
        <x:v>R</x:v>
      </x:c>
      <x:c r="P11" s="44" t="n">
        <x:v>22.5</x:v>
      </x:c>
      <x:c r="Q11" s="20" t="n">
        <x:v>18</x:v>
      </x:c>
      <x:c r="R11" s="44" t="n">
        <x:v>15.3</x:v>
      </x:c>
      <x:c r="S11" s="41" t="n">
        <x:v>19</x:v>
      </x:c>
      <x:c r="T11" s="44" t="n">
        <x:v>9</x:v>
      </x:c>
      <x:c r="U11" s="19" t="n">
        <x:v>900</x:v>
      </x:c>
      <x:c r="V11" s="19" t="n">
        <x:v>900</x:v>
      </x:c>
      <x:c r="W11" s="19" t="str">
        <x:v>PSI</x:v>
      </x:c>
      <x:c r="X11" s="20" t="n">
        <x:v>900</x:v>
      </x:c>
      <x:c r="Y11" s="20" t="n">
        <x:v>900</x:v>
      </x:c>
      <x:c r="Z11" s="44" t="n">
        <x:f>ROUND(X11/100,1)</x:f>
        <x:v>9</x:v>
      </x:c>
      <x:c r="AA11" s="44" t="n">
        <x:f>ROUND(Y11/100,1)</x:f>
        <x:v>9</x:v>
      </x:c>
      <x:c r="AB11" s="44" t="n">
        <x:f>ROUND(X11*0.1450377377,1)</x:f>
        <x:v>130.5</x:v>
      </x:c>
      <x:c r="AC11" s="44" t="n">
        <x:f>ROUND(Y11*0.1450377377,1)</x:f>
        <x:v>130.5</x:v>
      </x:c>
      <x:c r="AD11" s="19" t="str">
        <x:v>verified</x:v>
      </x:c>
      <x:c r="AE11" s="19" t="n">
        <x:v>3750</x:v>
      </x:c>
      <x:c r="AF11" s="19" t="n">
        <x:v>3350</x:v>
      </x:c>
      <x:c r="AG11" s="19" t="str">
        <x:v>LBS</x:v>
      </x:c>
      <x:c r="AH11" s="20" t="n">
        <x:v>3750</x:v>
      </x:c>
      <x:c r="AI11" s="20" t="n">
        <x:v>3350</x:v>
      </x:c>
      <x:c r="AJ11" s="20" t="n">
        <x:f>ROUND(AH11*2.2046226218,0)</x:f>
        <x:v>8267</x:v>
      </x:c>
      <x:c r="AK11" s="20" t="n">
        <x:f>ROUND(AI11*2.2046226218,0)</x:f>
        <x:v>7385</x:v>
      </x:c>
      <x:c r="AL11" s="19" t="str">
        <x:v>verified</x:v>
      </x:c>
      <x:c r="AM11" s="20" t="n">
        <x:v>154</x:v>
      </x:c>
      <x:c r="AN11" s="20" t="n">
        <x:v>150</x:v>
      </x:c>
      <x:c r="AO11" s="19" t="str">
        <x:v>154 / 150</x:v>
      </x:c>
      <x:c r="AP11" s="20"/>
      <x:c r="AQ11" s="20" t="str">
        <x:v>L</x:v>
      </x:c>
      <x:c r="AR11" s="20"/>
      <x:c r="AS11" s="19" t="str">
        <x:v>154/150 L</x:v>
      </x:c>
      <x:c r="AT11" s="19" t="str">
        <x:v>verified</x:v>
      </x:c>
      <x:c r="AU11" s="44" t="n">
        <x:v>1014</x:v>
      </x:c>
      <x:c r="AV11" s="19" t="n">
        <x:v>40</x:v>
      </x:c>
      <x:c r="AW11" s="42" t="n">
        <x:f>ROUND(AU11/25.4,2)</x:f>
        <x:v>39.92</x:v>
      </x:c>
      <x:c r="AX11" s="44" t="n">
        <x:v>312</x:v>
      </x:c>
      <x:c r="AY11" s="19" t="n">
        <x:v>12</x:v>
      </x:c>
      <x:c r="AZ11" s="42" t="n">
        <x:f>ROUND(AX11/25.4,2)</x:f>
        <x:v>12.28</x:v>
      </x:c>
      <x:c r="BA11" s="31" t="b">
        <x:v>1</x:v>
      </x:c>
      <x:c r="BB11" s="31" t="b">
        <x:v>1</x:v>
      </x:c>
      <x:c r="BC11" s="31" t="b">
        <x:v>1</x:v>
      </x:c>
      <x:c r="BD11" s="20" t="str">
        <x:v>["long-haul"]</x:v>
      </x:c>
      <x:c r="BE11" s="20" t="str">
        <x:v>["economy","high-mileage","wet-grip"]</x:v>
      </x:c>
      <x:c r="BF11" s="43" t="b">
        <x:v>1</x:v>
      </x:c>
      <x:c r="BG11" s="19" t="str">
        <x:v>DOUBLESTAR COMBODIA TBR CATALOGUE.pdf</x:v>
      </x:c>
      <x:c r="BH11" s="19" t="n">
        <x:v>4</x:v>
      </x:c>
      <x:c r="BI11" s="19" t="n">
        <x:v>1</x:v>
      </x:c>
      <x:c r="BJ11" s="19" t="str">
        <x:v>DSR266</x:v>
      </x:c>
      <x:c r="BK11" s="19" t="str">
        <x:v>{"Size":"315/70R22.5","PR":18,"Tread Depth mm":15.3,"Tread Depth 1/32in":19,"Standard Rim":9,"Pressure(PSI) Single":900,"Pressure(PSI) Dual":900,"Max. Load(LBS) Single":3750,"Max. Load(LBS) Dual":3350,"Load Index Single":"154","Load Index Dual":"150","Speed Grade":"L","Overall Diameter mm":1014,"Section Width mm":312,"Overall Diameter inch":40,"Section Width inch":12}</x:v>
      </x:c>
      <x:c r="BL11" s="19" t="str">
        <x:v>verified</x:v>
      </x:c>
      <x:c r="BM11" s="20" t="str">
        <x:v>[]</x:v>
      </x:c>
      <x:c r="BN11" s="20" t="str">
        <x:v>unique</x:v>
      </x:c>
      <x:c r="BO11" s="31" t="b">
        <x:v>0</x:v>
      </x:c>
      <x:c r="BP11" s="30" t="n">
        <x:v>46229</x:v>
      </x:c>
      <x:c r="BQ11" s="30" t="n">
        <x:v>46229.270833333336</x:v>
      </x:c>
    </x:row>
    <x:row r="12">
      <x:c r="A12" s="18" t="str">
        <x:v>BIZON-VAR-DSR266-31580R225-20PR</x:v>
      </x:c>
      <x:c r="B12" s="18" t="str">
        <x:v>BIZON-MODEL-DSR266</x:v>
      </x:c>
      <x:c r="C12" s="18" t="str">
        <x:v>BIZON</x:v>
      </x:c>
      <x:c r="D12" s="18" t="str">
        <x:v>DSR266</x:v>
      </x:c>
      <x:c r="E12" s="18" t="str">
        <x:v>BIZON-DSR266-31580R225-20PR</x:v>
      </x:c>
      <x:c r="F12" s="18" t="str"/>
      <x:c r="G12" s="18" t="str">
        <x:v>active</x:v>
      </x:c>
      <x:c r="H12" s="18" t="str">
        <x:v>draft</x:v>
      </x:c>
      <x:c r="I12" s="19" t="str">
        <x:v>315/80R22.5</x:v>
      </x:c>
      <x:c r="J12" s="18" t="str">
        <x:v>315/80R22.5</x:v>
      </x:c>
      <x:c r="K12" s="18" t="str">
        <x:v>metric</x:v>
      </x:c>
      <x:c r="L12" s="39" t="n">
        <x:v>315</x:v>
      </x:c>
      <x:c r="M12" s="39"/>
      <x:c r="N12" s="40" t="n">
        <x:v>80</x:v>
      </x:c>
      <x:c r="O12" s="18" t="str">
        <x:v>R</x:v>
      </x:c>
      <x:c r="P12" s="39" t="n">
        <x:v>22.5</x:v>
      </x:c>
      <x:c r="Q12" s="18" t="n">
        <x:v>20</x:v>
      </x:c>
      <x:c r="R12" s="39" t="n">
        <x:v>15</x:v>
      </x:c>
      <x:c r="S12" s="41" t="n">
        <x:v>19</x:v>
      </x:c>
      <x:c r="T12" s="39" t="n">
        <x:v>9</x:v>
      </x:c>
      <x:c r="U12" s="19" t="n">
        <x:v>850</x:v>
      </x:c>
      <x:c r="V12" s="19" t="n">
        <x:v>850</x:v>
      </x:c>
      <x:c r="W12" s="19" t="str">
        <x:v>PSI</x:v>
      </x:c>
      <x:c r="X12" s="18" t="n">
        <x:v>850</x:v>
      </x:c>
      <x:c r="Y12" s="18" t="n">
        <x:v>850</x:v>
      </x:c>
      <x:c r="Z12" s="39" t="n">
        <x:f>ROUND(X12/100,1)</x:f>
        <x:v>8.5</x:v>
      </x:c>
      <x:c r="AA12" s="39" t="n">
        <x:f>ROUND(Y12/100,1)</x:f>
        <x:v>8.5</x:v>
      </x:c>
      <x:c r="AB12" s="39" t="n">
        <x:f>ROUND(X12*0.1450377377,1)</x:f>
        <x:v>123.3</x:v>
      </x:c>
      <x:c r="AC12" s="39" t="n">
        <x:f>ROUND(Y12*0.1450377377,1)</x:f>
        <x:v>123.3</x:v>
      </x:c>
      <x:c r="AD12" s="19" t="str">
        <x:v>verified</x:v>
      </x:c>
      <x:c r="AE12" s="19" t="n">
        <x:v>4000</x:v>
      </x:c>
      <x:c r="AF12" s="19" t="n">
        <x:v>3350</x:v>
      </x:c>
      <x:c r="AG12" s="19" t="str">
        <x:v>LBS</x:v>
      </x:c>
      <x:c r="AH12" s="18" t="n">
        <x:v>4000</x:v>
      </x:c>
      <x:c r="AI12" s="18" t="n">
        <x:v>3350</x:v>
      </x:c>
      <x:c r="AJ12" s="18" t="n">
        <x:f>ROUND(AH12*2.2046226218,0)</x:f>
        <x:v>8818</x:v>
      </x:c>
      <x:c r="AK12" s="18" t="n">
        <x:f>ROUND(AI12*2.2046226218,0)</x:f>
        <x:v>7385</x:v>
      </x:c>
      <x:c r="AL12" s="19" t="str">
        <x:v>verified</x:v>
      </x:c>
      <x:c r="AM12" s="18" t="n">
        <x:v>156</x:v>
      </x:c>
      <x:c r="AN12" s="18" t="n">
        <x:v>150</x:v>
      </x:c>
      <x:c r="AO12" s="19" t="str">
        <x:v>156 / 150</x:v>
      </x:c>
      <x:c r="AP12" s="18"/>
      <x:c r="AQ12" s="18" t="str">
        <x:v>L</x:v>
      </x:c>
      <x:c r="AR12" s="18"/>
      <x:c r="AS12" s="19" t="str">
        <x:v>156/150 L</x:v>
      </x:c>
      <x:c r="AT12" s="19" t="str">
        <x:v>verified</x:v>
      </x:c>
      <x:c r="AU12" s="39" t="n">
        <x:v>1076</x:v>
      </x:c>
      <x:c r="AV12" s="19" t="n">
        <x:v>42</x:v>
      </x:c>
      <x:c r="AW12" s="42" t="n">
        <x:f>ROUND(AU12/25.4,2)</x:f>
        <x:v>42.36</x:v>
      </x:c>
      <x:c r="AX12" s="39" t="n">
        <x:v>312</x:v>
      </x:c>
      <x:c r="AY12" s="19" t="n">
        <x:v>12</x:v>
      </x:c>
      <x:c r="AZ12" s="42" t="n">
        <x:f>ROUND(AX12/25.4,2)</x:f>
        <x:v>12.28</x:v>
      </x:c>
      <x:c r="BA12" s="28" t="b">
        <x:v>1</x:v>
      </x:c>
      <x:c r="BB12" s="28" t="b">
        <x:v>1</x:v>
      </x:c>
      <x:c r="BC12" s="28" t="b">
        <x:v>1</x:v>
      </x:c>
      <x:c r="BD12" s="18" t="str">
        <x:v>["long-haul"]</x:v>
      </x:c>
      <x:c r="BE12" s="18" t="str">
        <x:v>["economy","high-mileage","wet-grip"]</x:v>
      </x:c>
      <x:c r="BF12" s="43" t="b">
        <x:v>1</x:v>
      </x:c>
      <x:c r="BG12" s="19" t="str">
        <x:v>DOUBLESTAR COMBODIA TBR CATALOGUE.pdf</x:v>
      </x:c>
      <x:c r="BH12" s="19" t="n">
        <x:v>4</x:v>
      </x:c>
      <x:c r="BI12" s="19" t="n">
        <x:v>2</x:v>
      </x:c>
      <x:c r="BJ12" s="19" t="str">
        <x:v>DSR266</x:v>
      </x:c>
      <x:c r="BK12" s="19" t="str">
        <x:v>{"Size":"315/80R22.5","PR":20,"Tread Depth mm":15,"Tread Depth 1/32in":19,"Standard Rim":9,"Pressure(PSI) Single":850,"Pressure(PSI) Dual":850,"Max. Load(LBS) Single":4000,"Max. Load(LBS) Dual":3350,"Load Index Single":"156","Load Index Dual":"150","Speed Grade":"L","Overall Diameter mm":1076,"Section Width mm":312,"Overall Diameter inch":42,"Section Width inch":12}</x:v>
      </x:c>
      <x:c r="BL12" s="19" t="str">
        <x:v>verified</x:v>
      </x:c>
      <x:c r="BM12" s="18" t="str">
        <x:v>[]</x:v>
      </x:c>
      <x:c r="BN12" s="18" t="str">
        <x:v>unique</x:v>
      </x:c>
      <x:c r="BO12" s="28" t="b">
        <x:v>0</x:v>
      </x:c>
      <x:c r="BP12" s="30" t="n">
        <x:v>46229</x:v>
      </x:c>
      <x:c r="BQ12" s="30" t="n">
        <x:v>46229.270833333336</x:v>
      </x:c>
    </x:row>
    <x:row r="13">
      <x:c r="A13" s="20" t="str">
        <x:v>BIZON-VAR-DLD816-31580R225-20PR</x:v>
      </x:c>
      <x:c r="B13" s="20" t="str">
        <x:v>BIZON-MODEL-DLD816</x:v>
      </x:c>
      <x:c r="C13" s="20" t="str">
        <x:v>BIZON</x:v>
      </x:c>
      <x:c r="D13" s="20" t="str">
        <x:v>DLD816</x:v>
      </x:c>
      <x:c r="E13" s="20" t="str">
        <x:v>BIZON-DLD816-31580R225-20PR</x:v>
      </x:c>
      <x:c r="F13" s="20" t="str"/>
      <x:c r="G13" s="20" t="str">
        <x:v>active</x:v>
      </x:c>
      <x:c r="H13" s="20" t="str">
        <x:v>draft</x:v>
      </x:c>
      <x:c r="I13" s="19" t="str">
        <x:v>315/80R22.5</x:v>
      </x:c>
      <x:c r="J13" s="20" t="str">
        <x:v>315/80R22.5</x:v>
      </x:c>
      <x:c r="K13" s="20" t="str">
        <x:v>metric</x:v>
      </x:c>
      <x:c r="L13" s="44" t="n">
        <x:v>315</x:v>
      </x:c>
      <x:c r="M13" s="44"/>
      <x:c r="N13" s="45" t="n">
        <x:v>80</x:v>
      </x:c>
      <x:c r="O13" s="20" t="str">
        <x:v>R</x:v>
      </x:c>
      <x:c r="P13" s="44" t="n">
        <x:v>22.5</x:v>
      </x:c>
      <x:c r="Q13" s="20" t="n">
        <x:v>20</x:v>
      </x:c>
      <x:c r="R13" s="44" t="n">
        <x:v>19</x:v>
      </x:c>
      <x:c r="S13" s="41" t="n">
        <x:v>24</x:v>
      </x:c>
      <x:c r="T13" s="44" t="n">
        <x:v>9</x:v>
      </x:c>
      <x:c r="U13" s="19" t="n">
        <x:v>850</x:v>
      </x:c>
      <x:c r="V13" s="19" t="n">
        <x:v>850</x:v>
      </x:c>
      <x:c r="W13" s="19" t="str">
        <x:v>PSI</x:v>
      </x:c>
      <x:c r="X13" s="20" t="n">
        <x:v>850</x:v>
      </x:c>
      <x:c r="Y13" s="20" t="n">
        <x:v>850</x:v>
      </x:c>
      <x:c r="Z13" s="44" t="n">
        <x:f>ROUND(X13/100,1)</x:f>
        <x:v>8.5</x:v>
      </x:c>
      <x:c r="AA13" s="44" t="n">
        <x:f>ROUND(Y13/100,1)</x:f>
        <x:v>8.5</x:v>
      </x:c>
      <x:c r="AB13" s="44" t="n">
        <x:f>ROUND(X13*0.1450377377,1)</x:f>
        <x:v>123.3</x:v>
      </x:c>
      <x:c r="AC13" s="44" t="n">
        <x:f>ROUND(Y13*0.1450377377,1)</x:f>
        <x:v>123.3</x:v>
      </x:c>
      <x:c r="AD13" s="19" t="str">
        <x:v>verified</x:v>
      </x:c>
      <x:c r="AE13" s="19" t="n">
        <x:v>4000</x:v>
      </x:c>
      <x:c r="AF13" s="19" t="n">
        <x:v>3350</x:v>
      </x:c>
      <x:c r="AG13" s="19" t="str">
        <x:v>LBS</x:v>
      </x:c>
      <x:c r="AH13" s="20" t="n">
        <x:v>4000</x:v>
      </x:c>
      <x:c r="AI13" s="20" t="n">
        <x:v>3350</x:v>
      </x:c>
      <x:c r="AJ13" s="20" t="n">
        <x:f>ROUND(AH13*2.2046226218,0)</x:f>
        <x:v>8818</x:v>
      </x:c>
      <x:c r="AK13" s="20" t="n">
        <x:f>ROUND(AI13*2.2046226218,0)</x:f>
        <x:v>7385</x:v>
      </x:c>
      <x:c r="AL13" s="19" t="str">
        <x:v>verified</x:v>
      </x:c>
      <x:c r="AM13" s="20" t="n">
        <x:v>156</x:v>
      </x:c>
      <x:c r="AN13" s="20" t="n">
        <x:v>150</x:v>
      </x:c>
      <x:c r="AO13" s="19" t="str">
        <x:v>156 / 150</x:v>
      </x:c>
      <x:c r="AP13" s="20"/>
      <x:c r="AQ13" s="20" t="str">
        <x:v>L</x:v>
      </x:c>
      <x:c r="AR13" s="20"/>
      <x:c r="AS13" s="19" t="str">
        <x:v>156/150 L</x:v>
      </x:c>
      <x:c r="AT13" s="19" t="str">
        <x:v>verified</x:v>
      </x:c>
      <x:c r="AU13" s="44" t="n">
        <x:v>1076</x:v>
      </x:c>
      <x:c r="AV13" s="19" t="n">
        <x:v>42</x:v>
      </x:c>
      <x:c r="AW13" s="42" t="n">
        <x:f>ROUND(AU13/25.4,2)</x:f>
        <x:v>42.36</x:v>
      </x:c>
      <x:c r="AX13" s="44" t="n">
        <x:v>312</x:v>
      </x:c>
      <x:c r="AY13" s="19" t="n">
        <x:v>12</x:v>
      </x:c>
      <x:c r="AZ13" s="42" t="n">
        <x:f>ROUND(AX13/25.4,2)</x:f>
        <x:v>12.28</x:v>
      </x:c>
      <x:c r="BA13" s="31" t="b">
        <x:v>0</x:v>
      </x:c>
      <x:c r="BB13" s="31" t="b">
        <x:v>1</x:v>
      </x:c>
      <x:c r="BC13" s="31" t="b">
        <x:v>0</x:v>
      </x:c>
      <x:c r="BD13" s="20" t="str">
        <x:v>["long-haul"]</x:v>
      </x:c>
      <x:c r="BE13" s="20" t="str">
        <x:v>["high-mileage","wet-grip","heavy-load"]</x:v>
      </x:c>
      <x:c r="BF13" s="43" t="b">
        <x:v>1</x:v>
      </x:c>
      <x:c r="BG13" s="19" t="str">
        <x:v>DOUBLESTAR COMBODIA TBR CATALOGUE.pdf</x:v>
      </x:c>
      <x:c r="BH13" s="19" t="n">
        <x:v>4</x:v>
      </x:c>
      <x:c r="BI13" s="19" t="n">
        <x:v>1</x:v>
      </x:c>
      <x:c r="BJ13" s="19" t="str">
        <x:v>DLD816</x:v>
      </x:c>
      <x:c r="BK13" s="19" t="str">
        <x:v>{"Size":"315/80R22.5","PR":20,"Tread Depth mm":19,"Tread Depth 1/32in":24,"Standard Rim":9,"Pressure(PSI) Single":850,"Pressure(PSI) Dual":850,"Max. Load(LBS) Single":4000,"Max. Load(LBS) Dual":3350,"Load Index Single":"156","Load Index Dual":"150","Speed Grade":"L","Overall Diameter mm":1076,"Section Width mm":312,"Overall Diameter inch":42,"Section Width inch":12}</x:v>
      </x:c>
      <x:c r="BL13" s="19" t="str">
        <x:v>verified</x:v>
      </x:c>
      <x:c r="BM13" s="20" t="str">
        <x:v>[]</x:v>
      </x:c>
      <x:c r="BN13" s="20" t="str">
        <x:v>unique</x:v>
      </x:c>
      <x:c r="BO13" s="31" t="b">
        <x:v>0</x:v>
      </x:c>
      <x:c r="BP13" s="30" t="n">
        <x:v>46229</x:v>
      </x:c>
      <x:c r="BQ13" s="30" t="n">
        <x:v>46229.270833333336</x:v>
      </x:c>
    </x:row>
    <x:row r="14">
      <x:c r="A14" s="18" t="str">
        <x:v>BIZON-VAR-DLD816-31570R225-18PR</x:v>
      </x:c>
      <x:c r="B14" s="18" t="str">
        <x:v>BIZON-MODEL-DLD816</x:v>
      </x:c>
      <x:c r="C14" s="18" t="str">
        <x:v>BIZON</x:v>
      </x:c>
      <x:c r="D14" s="18" t="str">
        <x:v>DLD816</x:v>
      </x:c>
      <x:c r="E14" s="18" t="str">
        <x:v>BIZON-DLD816-31570R225-18PR</x:v>
      </x:c>
      <x:c r="F14" s="18" t="str"/>
      <x:c r="G14" s="18" t="str">
        <x:v>active</x:v>
      </x:c>
      <x:c r="H14" s="18" t="str">
        <x:v>draft</x:v>
      </x:c>
      <x:c r="I14" s="19" t="str">
        <x:v>315/70R22.5</x:v>
      </x:c>
      <x:c r="J14" s="18" t="str">
        <x:v>315/70R22.5</x:v>
      </x:c>
      <x:c r="K14" s="18" t="str">
        <x:v>metric</x:v>
      </x:c>
      <x:c r="L14" s="39" t="n">
        <x:v>315</x:v>
      </x:c>
      <x:c r="M14" s="39"/>
      <x:c r="N14" s="40" t="n">
        <x:v>70</x:v>
      </x:c>
      <x:c r="O14" s="18" t="str">
        <x:v>R</x:v>
      </x:c>
      <x:c r="P14" s="39" t="n">
        <x:v>22.5</x:v>
      </x:c>
      <x:c r="Q14" s="18" t="n">
        <x:v>18</x:v>
      </x:c>
      <x:c r="R14" s="39" t="n">
        <x:v>18.5</x:v>
      </x:c>
      <x:c r="S14" s="41" t="n">
        <x:v>23</x:v>
      </x:c>
      <x:c r="T14" s="39" t="n">
        <x:v>9</x:v>
      </x:c>
      <x:c r="U14" s="19" t="n">
        <x:v>900</x:v>
      </x:c>
      <x:c r="V14" s="19" t="n">
        <x:v>900</x:v>
      </x:c>
      <x:c r="W14" s="19" t="str">
        <x:v>PSI</x:v>
      </x:c>
      <x:c r="X14" s="18" t="n">
        <x:v>900</x:v>
      </x:c>
      <x:c r="Y14" s="18" t="n">
        <x:v>900</x:v>
      </x:c>
      <x:c r="Z14" s="39" t="n">
        <x:f>ROUND(X14/100,1)</x:f>
        <x:v>9</x:v>
      </x:c>
      <x:c r="AA14" s="39" t="n">
        <x:f>ROUND(Y14/100,1)</x:f>
        <x:v>9</x:v>
      </x:c>
      <x:c r="AB14" s="39" t="n">
        <x:f>ROUND(X14*0.1450377377,1)</x:f>
        <x:v>130.5</x:v>
      </x:c>
      <x:c r="AC14" s="39" t="n">
        <x:f>ROUND(Y14*0.1450377377,1)</x:f>
        <x:v>130.5</x:v>
      </x:c>
      <x:c r="AD14" s="19" t="str">
        <x:v>verified</x:v>
      </x:c>
      <x:c r="AE14" s="19" t="n">
        <x:v>3750</x:v>
      </x:c>
      <x:c r="AF14" s="19" t="n">
        <x:v>3350</x:v>
      </x:c>
      <x:c r="AG14" s="19" t="str">
        <x:v>LBS</x:v>
      </x:c>
      <x:c r="AH14" s="18" t="n">
        <x:v>3750</x:v>
      </x:c>
      <x:c r="AI14" s="18" t="n">
        <x:v>3350</x:v>
      </x:c>
      <x:c r="AJ14" s="18" t="n">
        <x:f>ROUND(AH14*2.2046226218,0)</x:f>
        <x:v>8267</x:v>
      </x:c>
      <x:c r="AK14" s="18" t="n">
        <x:f>ROUND(AI14*2.2046226218,0)</x:f>
        <x:v>7385</x:v>
      </x:c>
      <x:c r="AL14" s="19" t="str">
        <x:v>verified</x:v>
      </x:c>
      <x:c r="AM14" s="18" t="n">
        <x:v>154</x:v>
      </x:c>
      <x:c r="AN14" s="18" t="n">
        <x:v>150</x:v>
      </x:c>
      <x:c r="AO14" s="19" t="str">
        <x:v>154 / 150</x:v>
      </x:c>
      <x:c r="AP14" s="18"/>
      <x:c r="AQ14" s="18" t="str">
        <x:v>L</x:v>
      </x:c>
      <x:c r="AR14" s="18"/>
      <x:c r="AS14" s="19" t="str">
        <x:v>154/150 L</x:v>
      </x:c>
      <x:c r="AT14" s="19" t="str">
        <x:v>verified</x:v>
      </x:c>
      <x:c r="AU14" s="39" t="n">
        <x:v>1014</x:v>
      </x:c>
      <x:c r="AV14" s="19" t="n">
        <x:v>40</x:v>
      </x:c>
      <x:c r="AW14" s="42" t="n">
        <x:f>ROUND(AU14/25.4,2)</x:f>
        <x:v>39.92</x:v>
      </x:c>
      <x:c r="AX14" s="39" t="n">
        <x:v>312</x:v>
      </x:c>
      <x:c r="AY14" s="19" t="n">
        <x:v>12</x:v>
      </x:c>
      <x:c r="AZ14" s="42" t="n">
        <x:f>ROUND(AX14/25.4,2)</x:f>
        <x:v>12.28</x:v>
      </x:c>
      <x:c r="BA14" s="28" t="b">
        <x:v>0</x:v>
      </x:c>
      <x:c r="BB14" s="28" t="b">
        <x:v>1</x:v>
      </x:c>
      <x:c r="BC14" s="28" t="b">
        <x:v>0</x:v>
      </x:c>
      <x:c r="BD14" s="18" t="str">
        <x:v>["long-haul"]</x:v>
      </x:c>
      <x:c r="BE14" s="18" t="str">
        <x:v>["high-mileage","wet-grip","heavy-load"]</x:v>
      </x:c>
      <x:c r="BF14" s="43" t="b">
        <x:v>1</x:v>
      </x:c>
      <x:c r="BG14" s="19" t="str">
        <x:v>DOUBLESTAR COMBODIA TBR CATALOGUE.pdf</x:v>
      </x:c>
      <x:c r="BH14" s="19" t="n">
        <x:v>4</x:v>
      </x:c>
      <x:c r="BI14" s="19" t="n">
        <x:v>2</x:v>
      </x:c>
      <x:c r="BJ14" s="19" t="str">
        <x:v>DLD816</x:v>
      </x:c>
      <x:c r="BK14" s="19" t="str">
        <x:v>{"Size":"315/70R22.5","PR":18,"Tread Depth mm":18.5,"Tread Depth 1/32in":23,"Standard Rim":9,"Pressure(PSI) Single":900,"Pressure(PSI) Dual":900,"Max. Load(LBS) Single":3750,"Max. Load(LBS) Dual":3350,"Load Index Single":"154","Load Index Dual":"150","Speed Grade":"L","Overall Diameter mm":1014,"Section Width mm":312,"Overall Diameter inch":40,"Section Width inch":12}</x:v>
      </x:c>
      <x:c r="BL14" s="19" t="str">
        <x:v>verified</x:v>
      </x:c>
      <x:c r="BM14" s="18" t="str">
        <x:v>[]</x:v>
      </x:c>
      <x:c r="BN14" s="18" t="str">
        <x:v>unique</x:v>
      </x:c>
      <x:c r="BO14" s="28" t="b">
        <x:v>0</x:v>
      </x:c>
      <x:c r="BP14" s="30" t="n">
        <x:v>46229</x:v>
      </x:c>
      <x:c r="BQ14" s="30" t="n">
        <x:v>46229.270833333336</x:v>
      </x:c>
    </x:row>
    <x:row r="15">
      <x:c r="A15" s="20" t="str">
        <x:v>BIZON-VAR-DLD816-31560R225-16PR</x:v>
      </x:c>
      <x:c r="B15" s="20" t="str">
        <x:v>BIZON-MODEL-DLD816</x:v>
      </x:c>
      <x:c r="C15" s="20" t="str">
        <x:v>BIZON</x:v>
      </x:c>
      <x:c r="D15" s="20" t="str">
        <x:v>DLD816</x:v>
      </x:c>
      <x:c r="E15" s="20" t="str">
        <x:v>BIZON-DLD816-31560R225-16PR</x:v>
      </x:c>
      <x:c r="F15" s="20" t="str"/>
      <x:c r="G15" s="20" t="str">
        <x:v>active</x:v>
      </x:c>
      <x:c r="H15" s="20" t="str">
        <x:v>draft</x:v>
      </x:c>
      <x:c r="I15" s="19" t="str">
        <x:v>315/60R22.5</x:v>
      </x:c>
      <x:c r="J15" s="20" t="str">
        <x:v>315/60R22.5</x:v>
      </x:c>
      <x:c r="K15" s="20" t="str">
        <x:v>metric</x:v>
      </x:c>
      <x:c r="L15" s="44" t="n">
        <x:v>315</x:v>
      </x:c>
      <x:c r="M15" s="44"/>
      <x:c r="N15" s="45" t="n">
        <x:v>60</x:v>
      </x:c>
      <x:c r="O15" s="20" t="str">
        <x:v>R</x:v>
      </x:c>
      <x:c r="P15" s="44" t="n">
        <x:v>22.5</x:v>
      </x:c>
      <x:c r="Q15" s="20" t="n">
        <x:v>16</x:v>
      </x:c>
      <x:c r="R15" s="44" t="n">
        <x:v>18</x:v>
      </x:c>
      <x:c r="S15" s="41" t="n">
        <x:v>23</x:v>
      </x:c>
      <x:c r="T15" s="44" t="n">
        <x:v>9.75</x:v>
      </x:c>
      <x:c r="U15" s="19" t="n">
        <x:v>900</x:v>
      </x:c>
      <x:c r="V15" s="19" t="n">
        <x:v>900</x:v>
      </x:c>
      <x:c r="W15" s="19" t="str">
        <x:v>PSI</x:v>
      </x:c>
      <x:c r="X15" s="20" t="n">
        <x:v>900</x:v>
      </x:c>
      <x:c r="Y15" s="20" t="n">
        <x:v>900</x:v>
      </x:c>
      <x:c r="Z15" s="44" t="n">
        <x:f>ROUND(X15/100,1)</x:f>
        <x:v>9</x:v>
      </x:c>
      <x:c r="AA15" s="44" t="n">
        <x:f>ROUND(Y15/100,1)</x:f>
        <x:v>9</x:v>
      </x:c>
      <x:c r="AB15" s="44" t="n">
        <x:f>ROUND(X15*0.1450377377,1)</x:f>
        <x:v>130.5</x:v>
      </x:c>
      <x:c r="AC15" s="44" t="n">
        <x:f>ROUND(Y15*0.1450377377,1)</x:f>
        <x:v>130.5</x:v>
      </x:c>
      <x:c r="AD15" s="19" t="str">
        <x:v>verified</x:v>
      </x:c>
      <x:c r="AE15" s="19" t="n">
        <x:v>3550</x:v>
      </x:c>
      <x:c r="AF15" s="19" t="n">
        <x:v>3150</x:v>
      </x:c>
      <x:c r="AG15" s="19" t="str">
        <x:v>LBS</x:v>
      </x:c>
      <x:c r="AH15" s="20" t="n">
        <x:v>3550</x:v>
      </x:c>
      <x:c r="AI15" s="20" t="n">
        <x:v>3150</x:v>
      </x:c>
      <x:c r="AJ15" s="20" t="n">
        <x:f>ROUND(AH15*2.2046226218,0)</x:f>
        <x:v>7826</x:v>
      </x:c>
      <x:c r="AK15" s="20" t="n">
        <x:f>ROUND(AI15*2.2046226218,0)</x:f>
        <x:v>6945</x:v>
      </x:c>
      <x:c r="AL15" s="19" t="str">
        <x:v>verified</x:v>
      </x:c>
      <x:c r="AM15" s="20" t="n">
        <x:v>152</x:v>
      </x:c>
      <x:c r="AN15" s="20" t="n">
        <x:v>148</x:v>
      </x:c>
      <x:c r="AO15" s="19" t="str">
        <x:v>152 / 148</x:v>
      </x:c>
      <x:c r="AP15" s="20"/>
      <x:c r="AQ15" s="20" t="str">
        <x:v>L</x:v>
      </x:c>
      <x:c r="AR15" s="20"/>
      <x:c r="AS15" s="19" t="str">
        <x:v>152/148 L</x:v>
      </x:c>
      <x:c r="AT15" s="19" t="str">
        <x:v>verified</x:v>
      </x:c>
      <x:c r="AU15" s="44" t="n">
        <x:v>950</x:v>
      </x:c>
      <x:c r="AV15" s="19" t="n">
        <x:v>37</x:v>
      </x:c>
      <x:c r="AW15" s="42" t="n">
        <x:f>ROUND(AU15/25.4,2)</x:f>
        <x:v>37.4</x:v>
      </x:c>
      <x:c r="AX15" s="44" t="n">
        <x:v>313</x:v>
      </x:c>
      <x:c r="AY15" s="19" t="n">
        <x:v>12</x:v>
      </x:c>
      <x:c r="AZ15" s="42" t="n">
        <x:f>ROUND(AX15/25.4,2)</x:f>
        <x:v>12.32</x:v>
      </x:c>
      <x:c r="BA15" s="31" t="b">
        <x:v>0</x:v>
      </x:c>
      <x:c r="BB15" s="31" t="b">
        <x:v>1</x:v>
      </x:c>
      <x:c r="BC15" s="31" t="b">
        <x:v>0</x:v>
      </x:c>
      <x:c r="BD15" s="20" t="str">
        <x:v>["long-haul"]</x:v>
      </x:c>
      <x:c r="BE15" s="20" t="str">
        <x:v>["high-mileage","wet-grip","heavy-load"]</x:v>
      </x:c>
      <x:c r="BF15" s="43" t="b">
        <x:v>1</x:v>
      </x:c>
      <x:c r="BG15" s="19" t="str">
        <x:v>DOUBLESTAR COMBODIA TBR CATALOGUE.pdf</x:v>
      </x:c>
      <x:c r="BH15" s="19" t="n">
        <x:v>4</x:v>
      </x:c>
      <x:c r="BI15" s="19" t="n">
        <x:v>3</x:v>
      </x:c>
      <x:c r="BJ15" s="19" t="str">
        <x:v>DLD816</x:v>
      </x:c>
      <x:c r="BK15" s="19" t="str">
        <x:v>{"Size":"315/60R22.5","PR":16,"Tread Depth mm":18,"Tread Depth 1/32in":23,"Standard Rim":9.75,"Pressure(PSI) Single":900,"Pressure(PSI) Dual":900,"Max. Load(LBS) Single":3550,"Max. Load(LBS) Dual":3150,"Load Index Single":"152","Load Index Dual":"148","Speed Grade":"L","Overall Diameter mm":950,"Section Width mm":313,"Overall Diameter inch":37,"Section Width inch":12}</x:v>
      </x:c>
      <x:c r="BL15" s="19" t="str">
        <x:v>verified</x:v>
      </x:c>
      <x:c r="BM15" s="20" t="str">
        <x:v>[]</x:v>
      </x:c>
      <x:c r="BN15" s="20" t="str">
        <x:v>unique</x:v>
      </x:c>
      <x:c r="BO15" s="31" t="b">
        <x:v>0</x:v>
      </x:c>
      <x:c r="BP15" s="30" t="n">
        <x:v>46229</x:v>
      </x:c>
      <x:c r="BQ15" s="30" t="n">
        <x:v>46229.270833333336</x:v>
      </x:c>
    </x:row>
    <x:row r="16">
      <x:c r="A16" s="18" t="str">
        <x:v>BIZON-VAR-DLD816-29560R225-16PR</x:v>
      </x:c>
      <x:c r="B16" s="18" t="str">
        <x:v>BIZON-MODEL-DLD816</x:v>
      </x:c>
      <x:c r="C16" s="18" t="str">
        <x:v>BIZON</x:v>
      </x:c>
      <x:c r="D16" s="18" t="str">
        <x:v>DLD816</x:v>
      </x:c>
      <x:c r="E16" s="18" t="str">
        <x:v>BIZON-DLD816-29560R225-16PR</x:v>
      </x:c>
      <x:c r="F16" s="18" t="str"/>
      <x:c r="G16" s="18" t="str">
        <x:v>active</x:v>
      </x:c>
      <x:c r="H16" s="18" t="str">
        <x:v>draft</x:v>
      </x:c>
      <x:c r="I16" s="19" t="str">
        <x:v>295/60R22.5</x:v>
      </x:c>
      <x:c r="J16" s="18" t="str">
        <x:v>295/60R22.5</x:v>
      </x:c>
      <x:c r="K16" s="18" t="str">
        <x:v>metric</x:v>
      </x:c>
      <x:c r="L16" s="39" t="n">
        <x:v>295</x:v>
      </x:c>
      <x:c r="M16" s="39"/>
      <x:c r="N16" s="40" t="n">
        <x:v>60</x:v>
      </x:c>
      <x:c r="O16" s="18" t="str">
        <x:v>R</x:v>
      </x:c>
      <x:c r="P16" s="39" t="n">
        <x:v>22.5</x:v>
      </x:c>
      <x:c r="Q16" s="18" t="n">
        <x:v>16</x:v>
      </x:c>
      <x:c r="R16" s="39" t="n">
        <x:v>18</x:v>
      </x:c>
      <x:c r="S16" s="41" t="n">
        <x:v>23</x:v>
      </x:c>
      <x:c r="T16" s="39" t="n">
        <x:v>9</x:v>
      </x:c>
      <x:c r="U16" s="19" t="n">
        <x:v>900</x:v>
      </x:c>
      <x:c r="V16" s="19" t="n">
        <x:v>900</x:v>
      </x:c>
      <x:c r="W16" s="19" t="str">
        <x:v>PSI</x:v>
      </x:c>
      <x:c r="X16" s="18" t="n">
        <x:v>900</x:v>
      </x:c>
      <x:c r="Y16" s="18" t="n">
        <x:v>900</x:v>
      </x:c>
      <x:c r="Z16" s="39" t="n">
        <x:f>ROUND(X16/100,1)</x:f>
        <x:v>9</x:v>
      </x:c>
      <x:c r="AA16" s="39" t="n">
        <x:f>ROUND(Y16/100,1)</x:f>
        <x:v>9</x:v>
      </x:c>
      <x:c r="AB16" s="39" t="n">
        <x:f>ROUND(X16*0.1450377377,1)</x:f>
        <x:v>130.5</x:v>
      </x:c>
      <x:c r="AC16" s="39" t="n">
        <x:f>ROUND(Y16*0.1450377377,1)</x:f>
        <x:v>130.5</x:v>
      </x:c>
      <x:c r="AD16" s="19" t="str">
        <x:v>verified</x:v>
      </x:c>
      <x:c r="AE16" s="19" t="n">
        <x:v>3350</x:v>
      </x:c>
      <x:c r="AF16" s="19" t="n">
        <x:v>3075</x:v>
      </x:c>
      <x:c r="AG16" s="19" t="str">
        <x:v>LBS</x:v>
      </x:c>
      <x:c r="AH16" s="18" t="n">
        <x:v>3350</x:v>
      </x:c>
      <x:c r="AI16" s="18" t="n">
        <x:v>3075</x:v>
      </x:c>
      <x:c r="AJ16" s="18" t="n">
        <x:f>ROUND(AH16*2.2046226218,0)</x:f>
        <x:v>7385</x:v>
      </x:c>
      <x:c r="AK16" s="18" t="n">
        <x:f>ROUND(AI16*2.2046226218,0)</x:f>
        <x:v>6779</x:v>
      </x:c>
      <x:c r="AL16" s="19" t="str">
        <x:v>verified</x:v>
      </x:c>
      <x:c r="AM16" s="18" t="n">
        <x:v>150</x:v>
      </x:c>
      <x:c r="AN16" s="18" t="n">
        <x:v>147</x:v>
      </x:c>
      <x:c r="AO16" s="19" t="str">
        <x:v>150 / 147</x:v>
      </x:c>
      <x:c r="AP16" s="18"/>
      <x:c r="AQ16" s="18" t="str">
        <x:v>K</x:v>
      </x:c>
      <x:c r="AR16" s="18"/>
      <x:c r="AS16" s="19" t="str">
        <x:v>150/147 K</x:v>
      </x:c>
      <x:c r="AT16" s="19" t="str">
        <x:v>verified</x:v>
      </x:c>
      <x:c r="AU16" s="39" t="n">
        <x:v>926</x:v>
      </x:c>
      <x:c r="AV16" s="19" t="n">
        <x:v>36</x:v>
      </x:c>
      <x:c r="AW16" s="42" t="n">
        <x:f>ROUND(AU16/25.4,2)</x:f>
        <x:v>36.46</x:v>
      </x:c>
      <x:c r="AX16" s="39" t="n">
        <x:v>292</x:v>
      </x:c>
      <x:c r="AY16" s="19" t="n">
        <x:v>11</x:v>
      </x:c>
      <x:c r="AZ16" s="42" t="n">
        <x:f>ROUND(AX16/25.4,2)</x:f>
        <x:v>11.5</x:v>
      </x:c>
      <x:c r="BA16" s="28" t="b">
        <x:v>0</x:v>
      </x:c>
      <x:c r="BB16" s="28" t="b">
        <x:v>1</x:v>
      </x:c>
      <x:c r="BC16" s="28" t="b">
        <x:v>0</x:v>
      </x:c>
      <x:c r="BD16" s="18" t="str">
        <x:v>["long-haul"]</x:v>
      </x:c>
      <x:c r="BE16" s="18" t="str">
        <x:v>["high-mileage","wet-grip","heavy-load"]</x:v>
      </x:c>
      <x:c r="BF16" s="43" t="b">
        <x:v>1</x:v>
      </x:c>
      <x:c r="BG16" s="19" t="str">
        <x:v>DOUBLESTAR COMBODIA TBR CATALOGUE.pdf</x:v>
      </x:c>
      <x:c r="BH16" s="19" t="n">
        <x:v>4</x:v>
      </x:c>
      <x:c r="BI16" s="19" t="n">
        <x:v>4</x:v>
      </x:c>
      <x:c r="BJ16" s="19" t="str">
        <x:v>DLD816</x:v>
      </x:c>
      <x:c r="BK16" s="19" t="str">
        <x:v>{"Size":"295/60R22.5","PR":16,"Tread Depth mm":18,"Tread Depth 1/32in":23,"Standard Rim":9,"Pressure(PSI) Single":900,"Pressure(PSI) Dual":900,"Max. Load(LBS) Single":3350,"Max. Load(LBS) Dual":3075,"Load Index Single":"150","Load Index Dual":"147","Speed Grade":"K","Overall Diameter mm":926,"Section Width mm":292,"Overall Diameter inch":36,"Section Width inch":11}</x:v>
      </x:c>
      <x:c r="BL16" s="19" t="str">
        <x:v>verified</x:v>
      </x:c>
      <x:c r="BM16" s="18" t="str">
        <x:v>[]</x:v>
      </x:c>
      <x:c r="BN16" s="18" t="str">
        <x:v>unique</x:v>
      </x:c>
      <x:c r="BO16" s="28" t="b">
        <x:v>0</x:v>
      </x:c>
      <x:c r="BP16" s="30" t="n">
        <x:v>46229</x:v>
      </x:c>
      <x:c r="BQ16" s="30" t="n">
        <x:v>46229.270833333336</x:v>
      </x:c>
    </x:row>
    <x:row r="17">
      <x:c r="A17" s="20" t="str">
        <x:v>BIZON-VAR-DLD816-26570R195-18PR</x:v>
      </x:c>
      <x:c r="B17" s="20" t="str">
        <x:v>BIZON-MODEL-DLD816</x:v>
      </x:c>
      <x:c r="C17" s="20" t="str">
        <x:v>BIZON</x:v>
      </x:c>
      <x:c r="D17" s="20" t="str">
        <x:v>DLD816</x:v>
      </x:c>
      <x:c r="E17" s="20" t="str">
        <x:v>BIZON-DLD816-26570R195-18PR</x:v>
      </x:c>
      <x:c r="F17" s="20" t="str"/>
      <x:c r="G17" s="20" t="str">
        <x:v>active</x:v>
      </x:c>
      <x:c r="H17" s="20" t="str">
        <x:v>draft</x:v>
      </x:c>
      <x:c r="I17" s="19" t="str">
        <x:v>265/70R19.5</x:v>
      </x:c>
      <x:c r="J17" s="20" t="str">
        <x:v>265/70R19.5</x:v>
      </x:c>
      <x:c r="K17" s="20" t="str">
        <x:v>metric</x:v>
      </x:c>
      <x:c r="L17" s="44" t="n">
        <x:v>265</x:v>
      </x:c>
      <x:c r="M17" s="44"/>
      <x:c r="N17" s="45" t="n">
        <x:v>70</x:v>
      </x:c>
      <x:c r="O17" s="20" t="str">
        <x:v>R</x:v>
      </x:c>
      <x:c r="P17" s="44" t="n">
        <x:v>19.5</x:v>
      </x:c>
      <x:c r="Q17" s="20" t="n">
        <x:v>18</x:v>
      </x:c>
      <x:c r="R17" s="44" t="n">
        <x:v>14</x:v>
      </x:c>
      <x:c r="S17" s="41" t="n">
        <x:v>18</x:v>
      </x:c>
      <x:c r="T17" s="44" t="n">
        <x:v>7.5</x:v>
      </x:c>
      <x:c r="U17" s="19" t="n">
        <x:v>850</x:v>
      </x:c>
      <x:c r="V17" s="19" t="n">
        <x:v>850</x:v>
      </x:c>
      <x:c r="W17" s="19" t="str">
        <x:v>PSI</x:v>
      </x:c>
      <x:c r="X17" s="20" t="n">
        <x:v>850</x:v>
      </x:c>
      <x:c r="Y17" s="20" t="n">
        <x:v>850</x:v>
      </x:c>
      <x:c r="Z17" s="44" t="n">
        <x:f>ROUND(X17/100,1)</x:f>
        <x:v>8.5</x:v>
      </x:c>
      <x:c r="AA17" s="44" t="n">
        <x:f>ROUND(Y17/100,1)</x:f>
        <x:v>8.5</x:v>
      </x:c>
      <x:c r="AB17" s="44" t="n">
        <x:f>ROUND(X17*0.1450377377,1)</x:f>
        <x:v>123.3</x:v>
      </x:c>
      <x:c r="AC17" s="44" t="n">
        <x:f>ROUND(Y17*0.1450377377,1)</x:f>
        <x:v>123.3</x:v>
      </x:c>
      <x:c r="AD17" s="19" t="str">
        <x:v>verified</x:v>
      </x:c>
      <x:c r="AE17" s="19" t="n">
        <x:v>2725</x:v>
      </x:c>
      <x:c r="AF17" s="19" t="n">
        <x:v>2575</x:v>
      </x:c>
      <x:c r="AG17" s="19" t="str">
        <x:v>LBS</x:v>
      </x:c>
      <x:c r="AH17" s="20" t="n">
        <x:v>2725</x:v>
      </x:c>
      <x:c r="AI17" s="20" t="n">
        <x:v>2575</x:v>
      </x:c>
      <x:c r="AJ17" s="20" t="n">
        <x:f>ROUND(AH17*2.2046226218,0)</x:f>
        <x:v>6008</x:v>
      </x:c>
      <x:c r="AK17" s="20" t="n">
        <x:f>ROUND(AI17*2.2046226218,0)</x:f>
        <x:v>5677</x:v>
      </x:c>
      <x:c r="AL17" s="19" t="str">
        <x:v>verified</x:v>
      </x:c>
      <x:c r="AM17" s="20" t="n">
        <x:v>143</x:v>
      </x:c>
      <x:c r="AN17" s="20" t="n">
        <x:v>141</x:v>
      </x:c>
      <x:c r="AO17" s="19" t="str">
        <x:v>143 / 141</x:v>
      </x:c>
      <x:c r="AP17" s="20"/>
      <x:c r="AQ17" s="20" t="str">
        <x:v>L</x:v>
      </x:c>
      <x:c r="AR17" s="20"/>
      <x:c r="AS17" s="19" t="str">
        <x:v>143/141 L</x:v>
      </x:c>
      <x:c r="AT17" s="19" t="str">
        <x:v>verified</x:v>
      </x:c>
      <x:c r="AU17" s="44" t="n">
        <x:v>867</x:v>
      </x:c>
      <x:c r="AV17" s="19" t="n">
        <x:v>34</x:v>
      </x:c>
      <x:c r="AW17" s="42" t="n">
        <x:f>ROUND(AU17/25.4,2)</x:f>
        <x:v>34.13</x:v>
      </x:c>
      <x:c r="AX17" s="44" t="n">
        <x:v>262</x:v>
      </x:c>
      <x:c r="AY17" s="19" t="n">
        <x:v>10</x:v>
      </x:c>
      <x:c r="AZ17" s="42" t="n">
        <x:f>ROUND(AX17/25.4,2)</x:f>
        <x:v>10.31</x:v>
      </x:c>
      <x:c r="BA17" s="31" t="b">
        <x:v>0</x:v>
      </x:c>
      <x:c r="BB17" s="31" t="b">
        <x:v>1</x:v>
      </x:c>
      <x:c r="BC17" s="31" t="b">
        <x:v>0</x:v>
      </x:c>
      <x:c r="BD17" s="20" t="str">
        <x:v>["long-haul"]</x:v>
      </x:c>
      <x:c r="BE17" s="20" t="str">
        <x:v>["high-mileage","wet-grip","heavy-load"]</x:v>
      </x:c>
      <x:c r="BF17" s="43" t="b">
        <x:v>1</x:v>
      </x:c>
      <x:c r="BG17" s="19" t="str">
        <x:v>DOUBLESTAR COMBODIA TBR CATALOGUE.pdf</x:v>
      </x:c>
      <x:c r="BH17" s="19" t="n">
        <x:v>4</x:v>
      </x:c>
      <x:c r="BI17" s="19" t="n">
        <x:v>5</x:v>
      </x:c>
      <x:c r="BJ17" s="19" t="str">
        <x:v>DLD816</x:v>
      </x:c>
      <x:c r="BK17" s="19" t="str">
        <x:v>{"Size":"265/70R19.5","PR":18,"Tread Depth mm":14,"Tread Depth 1/32in":18,"Standard Rim":7.5,"Pressure(PSI) Single":850,"Pressure(PSI) Dual":850,"Max. Load(LBS) Single":2725,"Max. Load(LBS) Dual":2575,"Load Index Single":"143","Load Index Dual":"141","Speed Grade":"L","Overall Diameter mm":867,"Section Width mm":262,"Overall Diameter inch":34,"Section Width inch":10}</x:v>
      </x:c>
      <x:c r="BL17" s="19" t="str">
        <x:v>verified</x:v>
      </x:c>
      <x:c r="BM17" s="20" t="str">
        <x:v>[]</x:v>
      </x:c>
      <x:c r="BN17" s="20" t="str">
        <x:v>unique</x:v>
      </x:c>
      <x:c r="BO17" s="31" t="b">
        <x:v>0</x:v>
      </x:c>
      <x:c r="BP17" s="30" t="n">
        <x:v>46229</x:v>
      </x:c>
      <x:c r="BQ17" s="30" t="n">
        <x:v>46229.270833333336</x:v>
      </x:c>
    </x:row>
    <x:row r="18">
      <x:c r="A18" s="18" t="str">
        <x:v>BIZON-VAR-DLD816-24570R195-16PR</x:v>
      </x:c>
      <x:c r="B18" s="18" t="str">
        <x:v>BIZON-MODEL-DLD816</x:v>
      </x:c>
      <x:c r="C18" s="18" t="str">
        <x:v>BIZON</x:v>
      </x:c>
      <x:c r="D18" s="18" t="str">
        <x:v>DLD816</x:v>
      </x:c>
      <x:c r="E18" s="18" t="str">
        <x:v>BIZON-DLD816-24570R195-16PR</x:v>
      </x:c>
      <x:c r="F18" s="18" t="str"/>
      <x:c r="G18" s="18" t="str">
        <x:v>active</x:v>
      </x:c>
      <x:c r="H18" s="18" t="str">
        <x:v>draft</x:v>
      </x:c>
      <x:c r="I18" s="19" t="str">
        <x:v>245/70R19.5</x:v>
      </x:c>
      <x:c r="J18" s="18" t="str">
        <x:v>245/70R19.5</x:v>
      </x:c>
      <x:c r="K18" s="18" t="str">
        <x:v>metric</x:v>
      </x:c>
      <x:c r="L18" s="39" t="n">
        <x:v>245</x:v>
      </x:c>
      <x:c r="M18" s="39"/>
      <x:c r="N18" s="40" t="n">
        <x:v>70</x:v>
      </x:c>
      <x:c r="O18" s="18" t="str">
        <x:v>R</x:v>
      </x:c>
      <x:c r="P18" s="39" t="n">
        <x:v>19.5</x:v>
      </x:c>
      <x:c r="Q18" s="18" t="n">
        <x:v>16</x:v>
      </x:c>
      <x:c r="R18" s="39" t="n">
        <x:v>15.5</x:v>
      </x:c>
      <x:c r="S18" s="41" t="n">
        <x:v>20</x:v>
      </x:c>
      <x:c r="T18" s="39" t="n">
        <x:v>7.5</x:v>
      </x:c>
      <x:c r="U18" s="19" t="n">
        <x:v>825</x:v>
      </x:c>
      <x:c r="V18" s="19" t="n">
        <x:v>825</x:v>
      </x:c>
      <x:c r="W18" s="19" t="str">
        <x:v>PSI</x:v>
      </x:c>
      <x:c r="X18" s="18" t="n">
        <x:v>825</x:v>
      </x:c>
      <x:c r="Y18" s="18" t="n">
        <x:v>825</x:v>
      </x:c>
      <x:c r="Z18" s="39" t="n">
        <x:f>ROUND(X18/100,1)</x:f>
        <x:v>8.3</x:v>
      </x:c>
      <x:c r="AA18" s="39" t="n">
        <x:f>ROUND(Y18/100,1)</x:f>
        <x:v>8.3</x:v>
      </x:c>
      <x:c r="AB18" s="39" t="n">
        <x:f>ROUND(X18*0.1450377377,1)</x:f>
        <x:v>119.7</x:v>
      </x:c>
      <x:c r="AC18" s="39" t="n">
        <x:f>ROUND(Y18*0.1450377377,1)</x:f>
        <x:v>119.7</x:v>
      </x:c>
      <x:c r="AD18" s="19" t="str">
        <x:v>verified</x:v>
      </x:c>
      <x:c r="AE18" s="19" t="n">
        <x:v>2240</x:v>
      </x:c>
      <x:c r="AF18" s="19" t="n">
        <x:v>2120</x:v>
      </x:c>
      <x:c r="AG18" s="19" t="str">
        <x:v>LBS</x:v>
      </x:c>
      <x:c r="AH18" s="18" t="n">
        <x:v>2240</x:v>
      </x:c>
      <x:c r="AI18" s="18" t="n">
        <x:v>2120</x:v>
      </x:c>
      <x:c r="AJ18" s="18" t="n">
        <x:f>ROUND(AH18*2.2046226218,0)</x:f>
        <x:v>4938</x:v>
      </x:c>
      <x:c r="AK18" s="18" t="n">
        <x:f>ROUND(AI18*2.2046226218,0)</x:f>
        <x:v>4674</x:v>
      </x:c>
      <x:c r="AL18" s="19" t="str">
        <x:v>verified</x:v>
      </x:c>
      <x:c r="AM18" s="18" t="n">
        <x:v>136</x:v>
      </x:c>
      <x:c r="AN18" s="18" t="n">
        <x:v>134</x:v>
      </x:c>
      <x:c r="AO18" s="19" t="str">
        <x:v>136 / 134</x:v>
      </x:c>
      <x:c r="AP18" s="18"/>
      <x:c r="AQ18" s="18" t="str">
        <x:v>L</x:v>
      </x:c>
      <x:c r="AR18" s="18"/>
      <x:c r="AS18" s="19" t="str">
        <x:v>136/134 L</x:v>
      </x:c>
      <x:c r="AT18" s="19" t="str">
        <x:v>verified</x:v>
      </x:c>
      <x:c r="AU18" s="39" t="n">
        <x:v>839</x:v>
      </x:c>
      <x:c r="AV18" s="19" t="n">
        <x:v>33</x:v>
      </x:c>
      <x:c r="AW18" s="42" t="n">
        <x:f>ROUND(AU18/25.4,2)</x:f>
        <x:v>33.03</x:v>
      </x:c>
      <x:c r="AX18" s="39" t="n">
        <x:v>248</x:v>
      </x:c>
      <x:c r="AY18" s="19" t="n">
        <x:v>10</x:v>
      </x:c>
      <x:c r="AZ18" s="42" t="n">
        <x:f>ROUND(AX18/25.4,2)</x:f>
        <x:v>9.76</x:v>
      </x:c>
      <x:c r="BA18" s="28" t="b">
        <x:v>0</x:v>
      </x:c>
      <x:c r="BB18" s="28" t="b">
        <x:v>1</x:v>
      </x:c>
      <x:c r="BC18" s="28" t="b">
        <x:v>0</x:v>
      </x:c>
      <x:c r="BD18" s="18" t="str">
        <x:v>["long-haul"]</x:v>
      </x:c>
      <x:c r="BE18" s="18" t="str">
        <x:v>["high-mileage","wet-grip","heavy-load"]</x:v>
      </x:c>
      <x:c r="BF18" s="43" t="b">
        <x:v>1</x:v>
      </x:c>
      <x:c r="BG18" s="19" t="str">
        <x:v>DOUBLESTAR COMBODIA TBR CATALOGUE.pdf</x:v>
      </x:c>
      <x:c r="BH18" s="19" t="n">
        <x:v>4</x:v>
      </x:c>
      <x:c r="BI18" s="19" t="n">
        <x:v>6</x:v>
      </x:c>
      <x:c r="BJ18" s="19" t="str">
        <x:v>DLD816</x:v>
      </x:c>
      <x:c r="BK18" s="19" t="str">
        <x:v>{"Size":"245/70R19.5","PR":16,"Tread Depth mm":15.5,"Tread Depth 1/32in":20,"Standard Rim":7.5,"Pressure(PSI) Single":825,"Pressure(PSI) Dual":825,"Max. Load(LBS) Single":2240,"Max. Load(LBS) Dual":2120,"Load Index Single":"136","Load Index Dual":"134","Speed Grade":"L","Overall Diameter mm":839,"Section Width mm":248,"Overall Diameter inch":33,"Section Width inch":10}</x:v>
      </x:c>
      <x:c r="BL18" s="19" t="str">
        <x:v>verified</x:v>
      </x:c>
      <x:c r="BM18" s="18" t="str">
        <x:v>[]</x:v>
      </x:c>
      <x:c r="BN18" s="18" t="str">
        <x:v>unique</x:v>
      </x:c>
      <x:c r="BO18" s="28" t="b">
        <x:v>0</x:v>
      </x:c>
      <x:c r="BP18" s="30" t="n">
        <x:v>46229</x:v>
      </x:c>
      <x:c r="BQ18" s="30" t="n">
        <x:v>46229.270833333336</x:v>
      </x:c>
    </x:row>
    <x:row r="19">
      <x:c r="A19" s="20" t="str">
        <x:v>BIZON-VAR-DLD816-23575R175-18PR</x:v>
      </x:c>
      <x:c r="B19" s="20" t="str">
        <x:v>BIZON-MODEL-DLD816</x:v>
      </x:c>
      <x:c r="C19" s="20" t="str">
        <x:v>BIZON</x:v>
      </x:c>
      <x:c r="D19" s="20" t="str">
        <x:v>DLD816</x:v>
      </x:c>
      <x:c r="E19" s="20" t="str">
        <x:v>BIZON-DLD816-23575R175-18PR</x:v>
      </x:c>
      <x:c r="F19" s="20" t="str"/>
      <x:c r="G19" s="20" t="str">
        <x:v>active</x:v>
      </x:c>
      <x:c r="H19" s="20" t="str">
        <x:v>draft</x:v>
      </x:c>
      <x:c r="I19" s="19" t="str">
        <x:v>235/75R17.5</x:v>
      </x:c>
      <x:c r="J19" s="20" t="str">
        <x:v>235/75R17.5</x:v>
      </x:c>
      <x:c r="K19" s="20" t="str">
        <x:v>metric</x:v>
      </x:c>
      <x:c r="L19" s="44" t="n">
        <x:v>235</x:v>
      </x:c>
      <x:c r="M19" s="44"/>
      <x:c r="N19" s="45" t="n">
        <x:v>75</x:v>
      </x:c>
      <x:c r="O19" s="20" t="str">
        <x:v>R</x:v>
      </x:c>
      <x:c r="P19" s="44" t="n">
        <x:v>17.5</x:v>
      </x:c>
      <x:c r="Q19" s="20" t="n">
        <x:v>18</x:v>
      </x:c>
      <x:c r="R19" s="44" t="n">
        <x:v>13</x:v>
      </x:c>
      <x:c r="S19" s="41" t="n">
        <x:v>16</x:v>
      </x:c>
      <x:c r="T19" s="44" t="n">
        <x:v>6.75</x:v>
      </x:c>
      <x:c r="U19" s="19" t="n">
        <x:v>875</x:v>
      </x:c>
      <x:c r="V19" s="19" t="n">
        <x:v>875</x:v>
      </x:c>
      <x:c r="W19" s="19" t="str">
        <x:v>PSI</x:v>
      </x:c>
      <x:c r="X19" s="20" t="n">
        <x:v>875</x:v>
      </x:c>
      <x:c r="Y19" s="20" t="n">
        <x:v>875</x:v>
      </x:c>
      <x:c r="Z19" s="44" t="n">
        <x:f>ROUND(X19/100,1)</x:f>
        <x:v>8.8</x:v>
      </x:c>
      <x:c r="AA19" s="44" t="n">
        <x:f>ROUND(Y19/100,1)</x:f>
        <x:v>8.8</x:v>
      </x:c>
      <x:c r="AB19" s="44" t="n">
        <x:f>ROUND(X19*0.1450377377,1)</x:f>
        <x:v>126.9</x:v>
      </x:c>
      <x:c r="AC19" s="44" t="n">
        <x:f>ROUND(Y19*0.1450377377,1)</x:f>
        <x:v>126.9</x:v>
      </x:c>
      <x:c r="AD19" s="19" t="str">
        <x:v>verified</x:v>
      </x:c>
      <x:c r="AE19" s="19" t="n">
        <x:v>2725</x:v>
      </x:c>
      <x:c r="AF19" s="19" t="n">
        <x:v>2575</x:v>
      </x:c>
      <x:c r="AG19" s="19" t="str">
        <x:v>LBS</x:v>
      </x:c>
      <x:c r="AH19" s="20" t="n">
        <x:v>2725</x:v>
      </x:c>
      <x:c r="AI19" s="20" t="n">
        <x:v>2575</x:v>
      </x:c>
      <x:c r="AJ19" s="20" t="n">
        <x:f>ROUND(AH19*2.2046226218,0)</x:f>
        <x:v>6008</x:v>
      </x:c>
      <x:c r="AK19" s="20" t="n">
        <x:f>ROUND(AI19*2.2046226218,0)</x:f>
        <x:v>5677</x:v>
      </x:c>
      <x:c r="AL19" s="19" t="str">
        <x:v>verified</x:v>
      </x:c>
      <x:c r="AM19" s="20" t="n">
        <x:v>143</x:v>
      </x:c>
      <x:c r="AN19" s="20" t="n">
        <x:v>141</x:v>
      </x:c>
      <x:c r="AO19" s="19" t="str">
        <x:v>143 / 141</x:v>
      </x:c>
      <x:c r="AP19" s="20"/>
      <x:c r="AQ19" s="20" t="str">
        <x:v>J</x:v>
      </x:c>
      <x:c r="AR19" s="20"/>
      <x:c r="AS19" s="19" t="str">
        <x:v>143/141 J</x:v>
      </x:c>
      <x:c r="AT19" s="19" t="str">
        <x:v>verified</x:v>
      </x:c>
      <x:c r="AU19" s="44" t="n">
        <x:v>797</x:v>
      </x:c>
      <x:c r="AV19" s="19" t="n">
        <x:v>31</x:v>
      </x:c>
      <x:c r="AW19" s="42" t="n">
        <x:f>ROUND(AU19/25.4,2)</x:f>
        <x:v>31.38</x:v>
      </x:c>
      <x:c r="AX19" s="44" t="n">
        <x:v>233</x:v>
      </x:c>
      <x:c r="AY19" s="19" t="n">
        <x:v>9</x:v>
      </x:c>
      <x:c r="AZ19" s="42" t="n">
        <x:f>ROUND(AX19/25.4,2)</x:f>
        <x:v>9.17</x:v>
      </x:c>
      <x:c r="BA19" s="31" t="b">
        <x:v>0</x:v>
      </x:c>
      <x:c r="BB19" s="31" t="b">
        <x:v>1</x:v>
      </x:c>
      <x:c r="BC19" s="31" t="b">
        <x:v>0</x:v>
      </x:c>
      <x:c r="BD19" s="20" t="str">
        <x:v>["long-haul"]</x:v>
      </x:c>
      <x:c r="BE19" s="20" t="str">
        <x:v>["high-mileage","wet-grip","heavy-load"]</x:v>
      </x:c>
      <x:c r="BF19" s="43" t="b">
        <x:v>1</x:v>
      </x:c>
      <x:c r="BG19" s="19" t="str">
        <x:v>DOUBLESTAR COMBODIA TBR CATALOGUE.pdf</x:v>
      </x:c>
      <x:c r="BH19" s="19" t="n">
        <x:v>4</x:v>
      </x:c>
      <x:c r="BI19" s="19" t="n">
        <x:v>7</x:v>
      </x:c>
      <x:c r="BJ19" s="19" t="str">
        <x:v>DLD816</x:v>
      </x:c>
      <x:c r="BK19" s="19" t="str">
        <x:v>{"Size":"235/75R17.5","PR":18,"Tread Depth mm":13,"Tread Depth 1/32in":16,"Standard Rim":6.75,"Pressure(PSI) Single":875,"Pressure(PSI) Dual":875,"Max. Load(LBS) Single":2725,"Max. Load(LBS) Dual":2575,"Load Index Single":"143","Load Index Dual":"141","Speed Grade":"J","Overall Diameter mm":797,"Section Width mm":233,"Overall Diameter inch":31,"Section Width inch":9}</x:v>
      </x:c>
      <x:c r="BL19" s="19" t="str">
        <x:v>verified</x:v>
      </x:c>
      <x:c r="BM19" s="20" t="str">
        <x:v>[]</x:v>
      </x:c>
      <x:c r="BN19" s="20" t="str">
        <x:v>unique</x:v>
      </x:c>
      <x:c r="BO19" s="31" t="b">
        <x:v>0</x:v>
      </x:c>
      <x:c r="BP19" s="30" t="n">
        <x:v>46229</x:v>
      </x:c>
      <x:c r="BQ19" s="30" t="n">
        <x:v>46229.270833333336</x:v>
      </x:c>
    </x:row>
    <x:row r="20">
      <x:c r="A20" s="18" t="str">
        <x:v>BIZON-VAR-DLD816-22575R175-16PR</x:v>
      </x:c>
      <x:c r="B20" s="18" t="str">
        <x:v>BIZON-MODEL-DLD816</x:v>
      </x:c>
      <x:c r="C20" s="18" t="str">
        <x:v>BIZON</x:v>
      </x:c>
      <x:c r="D20" s="18" t="str">
        <x:v>DLD816</x:v>
      </x:c>
      <x:c r="E20" s="18" t="str">
        <x:v>BIZON-DLD816-22575R175-16PR</x:v>
      </x:c>
      <x:c r="F20" s="18" t="str"/>
      <x:c r="G20" s="18" t="str">
        <x:v>active</x:v>
      </x:c>
      <x:c r="H20" s="18" t="str">
        <x:v>draft</x:v>
      </x:c>
      <x:c r="I20" s="19" t="str">
        <x:v>225/75R17.5</x:v>
      </x:c>
      <x:c r="J20" s="18" t="str">
        <x:v>225/75R17.5</x:v>
      </x:c>
      <x:c r="K20" s="18" t="str">
        <x:v>metric</x:v>
      </x:c>
      <x:c r="L20" s="39" t="n">
        <x:v>225</x:v>
      </x:c>
      <x:c r="M20" s="39"/>
      <x:c r="N20" s="40" t="n">
        <x:v>75</x:v>
      </x:c>
      <x:c r="O20" s="18" t="str">
        <x:v>R</x:v>
      </x:c>
      <x:c r="P20" s="39" t="n">
        <x:v>17.5</x:v>
      </x:c>
      <x:c r="Q20" s="18" t="n">
        <x:v>16</x:v>
      </x:c>
      <x:c r="R20" s="39" t="n">
        <x:v>13</x:v>
      </x:c>
      <x:c r="S20" s="41" t="n">
        <x:v>16</x:v>
      </x:c>
      <x:c r="T20" s="39" t="n">
        <x:v>6.75</x:v>
      </x:c>
      <x:c r="U20" s="19" t="n">
        <x:v>725</x:v>
      </x:c>
      <x:c r="V20" s="19" t="n">
        <x:v>725</x:v>
      </x:c>
      <x:c r="W20" s="19" t="str">
        <x:v>PSI</x:v>
      </x:c>
      <x:c r="X20" s="18" t="n">
        <x:v>725</x:v>
      </x:c>
      <x:c r="Y20" s="18" t="n">
        <x:v>725</x:v>
      </x:c>
      <x:c r="Z20" s="39" t="n">
        <x:f>ROUND(X20/100,1)</x:f>
        <x:v>7.3</x:v>
      </x:c>
      <x:c r="AA20" s="39" t="n">
        <x:f>ROUND(Y20/100,1)</x:f>
        <x:v>7.3</x:v>
      </x:c>
      <x:c r="AB20" s="39" t="n">
        <x:f>ROUND(X20*0.1450377377,1)</x:f>
        <x:v>105.2</x:v>
      </x:c>
      <x:c r="AC20" s="39" t="n">
        <x:f>ROUND(Y20*0.1450377377,1)</x:f>
        <x:v>105.2</x:v>
      </x:c>
      <x:c r="AD20" s="19" t="str">
        <x:v>verified</x:v>
      </x:c>
      <x:c r="AE20" s="19" t="n">
        <x:v>1850</x:v>
      </x:c>
      <x:c r="AF20" s="19" t="n">
        <x:v>1750</x:v>
      </x:c>
      <x:c r="AG20" s="19" t="str">
        <x:v>LBS</x:v>
      </x:c>
      <x:c r="AH20" s="18" t="n">
        <x:v>1850</x:v>
      </x:c>
      <x:c r="AI20" s="18" t="n">
        <x:v>1750</x:v>
      </x:c>
      <x:c r="AJ20" s="18" t="n">
        <x:f>ROUND(AH20*2.2046226218,0)</x:f>
        <x:v>4079</x:v>
      </x:c>
      <x:c r="AK20" s="18" t="n">
        <x:f>ROUND(AI20*2.2046226218,0)</x:f>
        <x:v>3858</x:v>
      </x:c>
      <x:c r="AL20" s="19" t="str">
        <x:v>verified</x:v>
      </x:c>
      <x:c r="AM20" s="18" t="n">
        <x:v>129</x:v>
      </x:c>
      <x:c r="AN20" s="18" t="n">
        <x:v>127</x:v>
      </x:c>
      <x:c r="AO20" s="19" t="str">
        <x:v>129 / 127</x:v>
      </x:c>
      <x:c r="AP20" s="18"/>
      <x:c r="AQ20" s="18" t="str">
        <x:v>L</x:v>
      </x:c>
      <x:c r="AR20" s="18"/>
      <x:c r="AS20" s="19" t="str">
        <x:v>129/127 L</x:v>
      </x:c>
      <x:c r="AT20" s="19" t="str">
        <x:v>verified</x:v>
      </x:c>
      <x:c r="AU20" s="39" t="n">
        <x:v>783</x:v>
      </x:c>
      <x:c r="AV20" s="19" t="n">
        <x:v>31</x:v>
      </x:c>
      <x:c r="AW20" s="42" t="n">
        <x:f>ROUND(AU20/25.4,2)</x:f>
        <x:v>30.83</x:v>
      </x:c>
      <x:c r="AX20" s="39" t="n">
        <x:v>226</x:v>
      </x:c>
      <x:c r="AY20" s="19" t="n">
        <x:v>9</x:v>
      </x:c>
      <x:c r="AZ20" s="42" t="n">
        <x:f>ROUND(AX20/25.4,2)</x:f>
        <x:v>8.9</x:v>
      </x:c>
      <x:c r="BA20" s="28" t="b">
        <x:v>0</x:v>
      </x:c>
      <x:c r="BB20" s="28" t="b">
        <x:v>1</x:v>
      </x:c>
      <x:c r="BC20" s="28" t="b">
        <x:v>0</x:v>
      </x:c>
      <x:c r="BD20" s="18" t="str">
        <x:v>["long-haul"]</x:v>
      </x:c>
      <x:c r="BE20" s="18" t="str">
        <x:v>["high-mileage","wet-grip","heavy-load"]</x:v>
      </x:c>
      <x:c r="BF20" s="43" t="b">
        <x:v>1</x:v>
      </x:c>
      <x:c r="BG20" s="19" t="str">
        <x:v>DOUBLESTAR COMBODIA TBR CATALOGUE.pdf</x:v>
      </x:c>
      <x:c r="BH20" s="19" t="n">
        <x:v>4</x:v>
      </x:c>
      <x:c r="BI20" s="19" t="n">
        <x:v>8</x:v>
      </x:c>
      <x:c r="BJ20" s="19" t="str">
        <x:v>DLD816</x:v>
      </x:c>
      <x:c r="BK20" s="19" t="str">
        <x:v>{"Size":"225/75R17.5","PR":16,"Tread Depth mm":13,"Tread Depth 1/32in":16,"Standard Rim":6.75,"Pressure(PSI) Single":725,"Pressure(PSI) Dual":725,"Max. Load(LBS) Single":1850,"Max. Load(LBS) Dual":1750,"Load Index Single":"129","Load Index Dual":"127","Speed Grade":"L","Overall Diameter mm":783,"Section Width mm":226,"Overall Diameter inch":31,"Section Width inch":9}</x:v>
      </x:c>
      <x:c r="BL20" s="19" t="str">
        <x:v>verified</x:v>
      </x:c>
      <x:c r="BM20" s="18" t="str">
        <x:v>[]</x:v>
      </x:c>
      <x:c r="BN20" s="18" t="str">
        <x:v>unique</x:v>
      </x:c>
      <x:c r="BO20" s="28" t="b">
        <x:v>0</x:v>
      </x:c>
      <x:c r="BP20" s="30" t="n">
        <x:v>46229</x:v>
      </x:c>
      <x:c r="BQ20" s="30" t="n">
        <x:v>46229.270833333336</x:v>
      </x:c>
    </x:row>
    <x:row r="21">
      <x:c r="A21" s="20" t="str">
        <x:v>BIZON-VAR-DLD816-21575R175-16PR</x:v>
      </x:c>
      <x:c r="B21" s="20" t="str">
        <x:v>BIZON-MODEL-DLD816</x:v>
      </x:c>
      <x:c r="C21" s="20" t="str">
        <x:v>BIZON</x:v>
      </x:c>
      <x:c r="D21" s="20" t="str">
        <x:v>DLD816</x:v>
      </x:c>
      <x:c r="E21" s="20" t="str">
        <x:v>BIZON-DLD816-21575R175-16PR</x:v>
      </x:c>
      <x:c r="F21" s="20" t="str"/>
      <x:c r="G21" s="20" t="str">
        <x:v>active</x:v>
      </x:c>
      <x:c r="H21" s="20" t="str">
        <x:v>draft</x:v>
      </x:c>
      <x:c r="I21" s="19" t="str">
        <x:v>215/75R17.5</x:v>
      </x:c>
      <x:c r="J21" s="20" t="str">
        <x:v>215/75R17.5</x:v>
      </x:c>
      <x:c r="K21" s="20" t="str">
        <x:v>metric</x:v>
      </x:c>
      <x:c r="L21" s="44" t="n">
        <x:v>215</x:v>
      </x:c>
      <x:c r="M21" s="44"/>
      <x:c r="N21" s="45" t="n">
        <x:v>75</x:v>
      </x:c>
      <x:c r="O21" s="20" t="str">
        <x:v>R</x:v>
      </x:c>
      <x:c r="P21" s="44" t="n">
        <x:v>17.5</x:v>
      </x:c>
      <x:c r="Q21" s="20" t="n">
        <x:v>16</x:v>
      </x:c>
      <x:c r="R21" s="44" t="n">
        <x:v>15.1</x:v>
      </x:c>
      <x:c r="S21" s="41" t="n">
        <x:v>19</x:v>
      </x:c>
      <x:c r="T21" s="44" t="n">
        <x:v>6</x:v>
      </x:c>
      <x:c r="U21" s="19" t="n">
        <x:v>700</x:v>
      </x:c>
      <x:c r="V21" s="19" t="n">
        <x:v>700</x:v>
      </x:c>
      <x:c r="W21" s="19" t="str">
        <x:v>PSI</x:v>
      </x:c>
      <x:c r="X21" s="20" t="n">
        <x:v>700</x:v>
      </x:c>
      <x:c r="Y21" s="20" t="n">
        <x:v>700</x:v>
      </x:c>
      <x:c r="Z21" s="44" t="n">
        <x:f>ROUND(X21/100,1)</x:f>
        <x:v>7</x:v>
      </x:c>
      <x:c r="AA21" s="44" t="n">
        <x:f>ROUND(Y21/100,1)</x:f>
        <x:v>7</x:v>
      </x:c>
      <x:c r="AB21" s="44" t="n">
        <x:f>ROUND(X21*0.1450377377,1)</x:f>
        <x:v>101.5</x:v>
      </x:c>
      <x:c r="AC21" s="44" t="n">
        <x:f>ROUND(Y21*0.1450377377,1)</x:f>
        <x:v>101.5</x:v>
      </x:c>
      <x:c r="AD21" s="19" t="str">
        <x:v>verified</x:v>
      </x:c>
      <x:c r="AE21" s="19" t="n">
        <x:v>1700</x:v>
      </x:c>
      <x:c r="AF21" s="19" t="n">
        <x:v>1600</x:v>
      </x:c>
      <x:c r="AG21" s="19" t="str">
        <x:v>LBS</x:v>
      </x:c>
      <x:c r="AH21" s="20" t="n">
        <x:v>1700</x:v>
      </x:c>
      <x:c r="AI21" s="20" t="n">
        <x:v>1600</x:v>
      </x:c>
      <x:c r="AJ21" s="20" t="n">
        <x:f>ROUND(AH21*2.2046226218,0)</x:f>
        <x:v>3748</x:v>
      </x:c>
      <x:c r="AK21" s="20" t="n">
        <x:f>ROUND(AI21*2.2046226218,0)</x:f>
        <x:v>3527</x:v>
      </x:c>
      <x:c r="AL21" s="19" t="str">
        <x:v>verified</x:v>
      </x:c>
      <x:c r="AM21" s="20" t="n">
        <x:v>126</x:v>
      </x:c>
      <x:c r="AN21" s="20" t="n">
        <x:v>124</x:v>
      </x:c>
      <x:c r="AO21" s="19" t="str">
        <x:v>126 / 124</x:v>
      </x:c>
      <x:c r="AP21" s="20"/>
      <x:c r="AQ21" s="20" t="str">
        <x:v>L</x:v>
      </x:c>
      <x:c r="AR21" s="20"/>
      <x:c r="AS21" s="19" t="str">
        <x:v>126/124 L</x:v>
      </x:c>
      <x:c r="AT21" s="19" t="str">
        <x:v>verified</x:v>
      </x:c>
      <x:c r="AU21" s="44" t="n">
        <x:v>767</x:v>
      </x:c>
      <x:c r="AV21" s="19" t="n">
        <x:v>30</x:v>
      </x:c>
      <x:c r="AW21" s="42" t="n">
        <x:f>ROUND(AU21/25.4,2)</x:f>
        <x:v>30.2</x:v>
      </x:c>
      <x:c r="AX21" s="44" t="n">
        <x:v>211</x:v>
      </x:c>
      <x:c r="AY21" s="19" t="n">
        <x:v>8</x:v>
      </x:c>
      <x:c r="AZ21" s="42" t="n">
        <x:f>ROUND(AX21/25.4,2)</x:f>
        <x:v>8.31</x:v>
      </x:c>
      <x:c r="BA21" s="31" t="b">
        <x:v>0</x:v>
      </x:c>
      <x:c r="BB21" s="31" t="b">
        <x:v>1</x:v>
      </x:c>
      <x:c r="BC21" s="31" t="b">
        <x:v>0</x:v>
      </x:c>
      <x:c r="BD21" s="20" t="str">
        <x:v>["long-haul"]</x:v>
      </x:c>
      <x:c r="BE21" s="20" t="str">
        <x:v>["high-mileage","wet-grip","heavy-load"]</x:v>
      </x:c>
      <x:c r="BF21" s="43" t="b">
        <x:v>1</x:v>
      </x:c>
      <x:c r="BG21" s="19" t="str">
        <x:v>DOUBLESTAR COMBODIA TBR CATALOGUE.pdf</x:v>
      </x:c>
      <x:c r="BH21" s="19" t="n">
        <x:v>4</x:v>
      </x:c>
      <x:c r="BI21" s="19" t="n">
        <x:v>9</x:v>
      </x:c>
      <x:c r="BJ21" s="19" t="str">
        <x:v>DLD816</x:v>
      </x:c>
      <x:c r="BK21" s="19" t="str">
        <x:v>{"Size":"215/75R17.5","PR":16,"Tread Depth mm":15.1,"Tread Depth 1/32in":19,"Standard Rim":6,"Pressure(PSI) Single":700,"Pressure(PSI) Dual":700,"Max. Load(LBS) Single":1700,"Max. Load(LBS) Dual":1600,"Load Index Single":"126","Load Index Dual":"124","Speed Grade":"L","Overall Diameter mm":767,"Section Width mm":211,"Overall Diameter inch":30,"Section Width inch":8}</x:v>
      </x:c>
      <x:c r="BL21" s="19" t="str">
        <x:v>verified</x:v>
      </x:c>
      <x:c r="BM21" s="20" t="str">
        <x:v>[]</x:v>
      </x:c>
      <x:c r="BN21" s="20" t="str">
        <x:v>unique</x:v>
      </x:c>
      <x:c r="BO21" s="31" t="b">
        <x:v>0</x:v>
      </x:c>
      <x:c r="BP21" s="30" t="n">
        <x:v>46229</x:v>
      </x:c>
      <x:c r="BQ21" s="30" t="n">
        <x:v>46229.270833333336</x:v>
      </x:c>
    </x:row>
    <x:row r="22">
      <x:c r="A22" s="18" t="str">
        <x:v>BIZON-VAR-DSR08A-31570R225-18PR</x:v>
      </x:c>
      <x:c r="B22" s="18" t="str">
        <x:v>BIZON-MODEL-DSR08A</x:v>
      </x:c>
      <x:c r="C22" s="18" t="str">
        <x:v>BIZON</x:v>
      </x:c>
      <x:c r="D22" s="18" t="str">
        <x:v>DSR08A</x:v>
      </x:c>
      <x:c r="E22" s="18" t="str">
        <x:v>BIZON-DSR08A-31570R225-18PR</x:v>
      </x:c>
      <x:c r="F22" s="18" t="str"/>
      <x:c r="G22" s="18" t="str">
        <x:v>active</x:v>
      </x:c>
      <x:c r="H22" s="18" t="str">
        <x:v>draft</x:v>
      </x:c>
      <x:c r="I22" s="19" t="str">
        <x:v>315/70R22.5</x:v>
      </x:c>
      <x:c r="J22" s="18" t="str">
        <x:v>315/70R22.5</x:v>
      </x:c>
      <x:c r="K22" s="18" t="str">
        <x:v>metric</x:v>
      </x:c>
      <x:c r="L22" s="39" t="n">
        <x:v>315</x:v>
      </x:c>
      <x:c r="M22" s="39"/>
      <x:c r="N22" s="40" t="n">
        <x:v>70</x:v>
      </x:c>
      <x:c r="O22" s="18" t="str">
        <x:v>R</x:v>
      </x:c>
      <x:c r="P22" s="39" t="n">
        <x:v>22.5</x:v>
      </x:c>
      <x:c r="Q22" s="18" t="n">
        <x:v>18</x:v>
      </x:c>
      <x:c r="R22" s="39" t="n">
        <x:v>21</x:v>
      </x:c>
      <x:c r="S22" s="41" t="n">
        <x:v>26</x:v>
      </x:c>
      <x:c r="T22" s="39" t="n">
        <x:v>9</x:v>
      </x:c>
      <x:c r="U22" s="19" t="n">
        <x:v>900</x:v>
      </x:c>
      <x:c r="V22" s="19" t="n">
        <x:v>900</x:v>
      </x:c>
      <x:c r="W22" s="19" t="str">
        <x:v>PSI</x:v>
      </x:c>
      <x:c r="X22" s="18" t="n">
        <x:v>900</x:v>
      </x:c>
      <x:c r="Y22" s="18" t="n">
        <x:v>900</x:v>
      </x:c>
      <x:c r="Z22" s="39" t="n">
        <x:f>ROUND(X22/100,1)</x:f>
        <x:v>9</x:v>
      </x:c>
      <x:c r="AA22" s="39" t="n">
        <x:f>ROUND(Y22/100,1)</x:f>
        <x:v>9</x:v>
      </x:c>
      <x:c r="AB22" s="39" t="n">
        <x:f>ROUND(X22*0.1450377377,1)</x:f>
        <x:v>130.5</x:v>
      </x:c>
      <x:c r="AC22" s="39" t="n">
        <x:f>ROUND(Y22*0.1450377377,1)</x:f>
        <x:v>130.5</x:v>
      </x:c>
      <x:c r="AD22" s="19" t="str">
        <x:v>verified</x:v>
      </x:c>
      <x:c r="AE22" s="19" t="n">
        <x:v>3750</x:v>
      </x:c>
      <x:c r="AF22" s="19" t="n">
        <x:v>3350</x:v>
      </x:c>
      <x:c r="AG22" s="19" t="str">
        <x:v>LBS</x:v>
      </x:c>
      <x:c r="AH22" s="18" t="n">
        <x:v>3750</x:v>
      </x:c>
      <x:c r="AI22" s="18" t="n">
        <x:v>3350</x:v>
      </x:c>
      <x:c r="AJ22" s="18" t="n">
        <x:f>ROUND(AH22*2.2046226218,0)</x:f>
        <x:v>8267</x:v>
      </x:c>
      <x:c r="AK22" s="18" t="n">
        <x:f>ROUND(AI22*2.2046226218,0)</x:f>
        <x:v>7385</x:v>
      </x:c>
      <x:c r="AL22" s="19" t="str">
        <x:v>verified</x:v>
      </x:c>
      <x:c r="AM22" s="18" t="n">
        <x:v>154</x:v>
      </x:c>
      <x:c r="AN22" s="18" t="n">
        <x:v>150</x:v>
      </x:c>
      <x:c r="AO22" s="19" t="str">
        <x:v>154 / 150</x:v>
      </x:c>
      <x:c r="AP22" s="18"/>
      <x:c r="AQ22" s="18" t="str">
        <x:v>L</x:v>
      </x:c>
      <x:c r="AR22" s="18"/>
      <x:c r="AS22" s="19" t="str">
        <x:v>154/150 L</x:v>
      </x:c>
      <x:c r="AT22" s="19" t="str">
        <x:v>verified</x:v>
      </x:c>
      <x:c r="AU22" s="39" t="n">
        <x:v>1014</x:v>
      </x:c>
      <x:c r="AV22" s="19" t="n">
        <x:v>40</x:v>
      </x:c>
      <x:c r="AW22" s="42" t="n">
        <x:f>ROUND(AU22/25.4,2)</x:f>
        <x:v>39.92</x:v>
      </x:c>
      <x:c r="AX22" s="39" t="n">
        <x:v>312</x:v>
      </x:c>
      <x:c r="AY22" s="19" t="n">
        <x:v>12</x:v>
      </x:c>
      <x:c r="AZ22" s="42" t="n">
        <x:f>ROUND(AX22/25.4,2)</x:f>
        <x:v>12.28</x:v>
      </x:c>
      <x:c r="BA22" s="28" t="b">
        <x:v>0</x:v>
      </x:c>
      <x:c r="BB22" s="28" t="b">
        <x:v>1</x:v>
      </x:c>
      <x:c r="BC22" s="28" t="b">
        <x:v>0</x:v>
      </x:c>
      <x:c r="BD22" s="18" t="str">
        <x:v>["long-haul"]</x:v>
      </x:c>
      <x:c r="BE22" s="18" t="str">
        <x:v>["high-mileage","anti-wear","anti-tear","short-braking-distance"]</x:v>
      </x:c>
      <x:c r="BF22" s="43" t="b">
        <x:v>1</x:v>
      </x:c>
      <x:c r="BG22" s="19" t="str">
        <x:v>DOUBLESTAR COMBODIA TBR CATALOGUE.pdf</x:v>
      </x:c>
      <x:c r="BH22" s="19" t="n">
        <x:v>4</x:v>
      </x:c>
      <x:c r="BI22" s="19" t="n">
        <x:v>1</x:v>
      </x:c>
      <x:c r="BJ22" s="19" t="str">
        <x:v>DSR08A</x:v>
      </x:c>
      <x:c r="BK22" s="19" t="str">
        <x:v>{"Size":"315/70R22.5","PR":18,"Tread Depth mm":21,"Tread Depth 1/32in":26,"Standard Rim":9,"Pressure(PSI) Single":900,"Pressure(PSI) Dual":900,"Max. Load(LBS) Single":3750,"Max. Load(LBS) Dual":3350,"Load Index Single":"154","Load Index Dual":"150","Speed Grade":"L","Overall Diameter mm":1014,"Section Width mm":312,"Overall Diameter inch":40,"Section Width inch":12}</x:v>
      </x:c>
      <x:c r="BL22" s="19" t="str">
        <x:v>verified</x:v>
      </x:c>
      <x:c r="BM22" s="18" t="str">
        <x:v>[]</x:v>
      </x:c>
      <x:c r="BN22" s="18" t="str">
        <x:v>unique</x:v>
      </x:c>
      <x:c r="BO22" s="28" t="b">
        <x:v>0</x:v>
      </x:c>
      <x:c r="BP22" s="30" t="n">
        <x:v>46229</x:v>
      </x:c>
      <x:c r="BQ22" s="30" t="n">
        <x:v>46229.270833333336</x:v>
      </x:c>
    </x:row>
    <x:row r="23">
      <x:c r="A23" s="20" t="str">
        <x:v>BIZON-VAR-DSR08A-31580R225-20PR</x:v>
      </x:c>
      <x:c r="B23" s="20" t="str">
        <x:v>BIZON-MODEL-DSR08A</x:v>
      </x:c>
      <x:c r="C23" s="20" t="str">
        <x:v>BIZON</x:v>
      </x:c>
      <x:c r="D23" s="20" t="str">
        <x:v>DSR08A</x:v>
      </x:c>
      <x:c r="E23" s="20" t="str">
        <x:v>BIZON-DSR08A-31580R225-20PR</x:v>
      </x:c>
      <x:c r="F23" s="20" t="str"/>
      <x:c r="G23" s="20" t="str">
        <x:v>active</x:v>
      </x:c>
      <x:c r="H23" s="20" t="str">
        <x:v>draft</x:v>
      </x:c>
      <x:c r="I23" s="19" t="str">
        <x:v>315/80R22.5</x:v>
      </x:c>
      <x:c r="J23" s="20" t="str">
        <x:v>315/80R22.5</x:v>
      </x:c>
      <x:c r="K23" s="20" t="str">
        <x:v>metric</x:v>
      </x:c>
      <x:c r="L23" s="44" t="n">
        <x:v>315</x:v>
      </x:c>
      <x:c r="M23" s="44"/>
      <x:c r="N23" s="45" t="n">
        <x:v>80</x:v>
      </x:c>
      <x:c r="O23" s="20" t="str">
        <x:v>R</x:v>
      </x:c>
      <x:c r="P23" s="44" t="n">
        <x:v>22.5</x:v>
      </x:c>
      <x:c r="Q23" s="20" t="n">
        <x:v>20</x:v>
      </x:c>
      <x:c r="R23" s="44" t="n">
        <x:v>21</x:v>
      </x:c>
      <x:c r="S23" s="41" t="n">
        <x:v>26</x:v>
      </x:c>
      <x:c r="T23" s="44" t="n">
        <x:v>9</x:v>
      </x:c>
      <x:c r="U23" s="19" t="n">
        <x:v>850</x:v>
      </x:c>
      <x:c r="V23" s="19" t="n">
        <x:v>850</x:v>
      </x:c>
      <x:c r="W23" s="19" t="str">
        <x:v>PSI</x:v>
      </x:c>
      <x:c r="X23" s="20" t="n">
        <x:v>850</x:v>
      </x:c>
      <x:c r="Y23" s="20" t="n">
        <x:v>850</x:v>
      </x:c>
      <x:c r="Z23" s="44" t="n">
        <x:f>ROUND(X23/100,1)</x:f>
        <x:v>8.5</x:v>
      </x:c>
      <x:c r="AA23" s="44" t="n">
        <x:f>ROUND(Y23/100,1)</x:f>
        <x:v>8.5</x:v>
      </x:c>
      <x:c r="AB23" s="44" t="n">
        <x:f>ROUND(X23*0.1450377377,1)</x:f>
        <x:v>123.3</x:v>
      </x:c>
      <x:c r="AC23" s="44" t="n">
        <x:f>ROUND(Y23*0.1450377377,1)</x:f>
        <x:v>123.3</x:v>
      </x:c>
      <x:c r="AD23" s="19" t="str">
        <x:v>verified</x:v>
      </x:c>
      <x:c r="AE23" s="19" t="n">
        <x:v>4000</x:v>
      </x:c>
      <x:c r="AF23" s="19" t="n">
        <x:v>3350</x:v>
      </x:c>
      <x:c r="AG23" s="19" t="str">
        <x:v>LBS</x:v>
      </x:c>
      <x:c r="AH23" s="20" t="n">
        <x:v>4000</x:v>
      </x:c>
      <x:c r="AI23" s="20" t="n">
        <x:v>3350</x:v>
      </x:c>
      <x:c r="AJ23" s="20" t="n">
        <x:f>ROUND(AH23*2.2046226218,0)</x:f>
        <x:v>8818</x:v>
      </x:c>
      <x:c r="AK23" s="20" t="n">
        <x:f>ROUND(AI23*2.2046226218,0)</x:f>
        <x:v>7385</x:v>
      </x:c>
      <x:c r="AL23" s="19" t="str">
        <x:v>verified</x:v>
      </x:c>
      <x:c r="AM23" s="20" t="n">
        <x:v>156</x:v>
      </x:c>
      <x:c r="AN23" s="20" t="n">
        <x:v>150</x:v>
      </x:c>
      <x:c r="AO23" s="19" t="str">
        <x:v>156 / 150</x:v>
      </x:c>
      <x:c r="AP23" s="20"/>
      <x:c r="AQ23" s="20" t="str">
        <x:v>L</x:v>
      </x:c>
      <x:c r="AR23" s="20"/>
      <x:c r="AS23" s="19" t="str">
        <x:v>156/150 L</x:v>
      </x:c>
      <x:c r="AT23" s="19" t="str">
        <x:v>verified</x:v>
      </x:c>
      <x:c r="AU23" s="44" t="n">
        <x:v>1076</x:v>
      </x:c>
      <x:c r="AV23" s="19" t="n">
        <x:v>42</x:v>
      </x:c>
      <x:c r="AW23" s="42" t="n">
        <x:f>ROUND(AU23/25.4,2)</x:f>
        <x:v>42.36</x:v>
      </x:c>
      <x:c r="AX23" s="44" t="n">
        <x:v>312</x:v>
      </x:c>
      <x:c r="AY23" s="19" t="n">
        <x:v>12</x:v>
      </x:c>
      <x:c r="AZ23" s="42" t="n">
        <x:f>ROUND(AX23/25.4,2)</x:f>
        <x:v>12.28</x:v>
      </x:c>
      <x:c r="BA23" s="31" t="b">
        <x:v>0</x:v>
      </x:c>
      <x:c r="BB23" s="31" t="b">
        <x:v>1</x:v>
      </x:c>
      <x:c r="BC23" s="31" t="b">
        <x:v>0</x:v>
      </x:c>
      <x:c r="BD23" s="20" t="str">
        <x:v>["long-haul"]</x:v>
      </x:c>
      <x:c r="BE23" s="20" t="str">
        <x:v>["high-mileage","anti-wear","anti-tear","short-braking-distance"]</x:v>
      </x:c>
      <x:c r="BF23" s="43" t="b">
        <x:v>1</x:v>
      </x:c>
      <x:c r="BG23" s="19" t="str">
        <x:v>DOUBLESTAR COMBODIA TBR CATALOGUE.pdf</x:v>
      </x:c>
      <x:c r="BH23" s="19" t="n">
        <x:v>4</x:v>
      </x:c>
      <x:c r="BI23" s="19" t="n">
        <x:v>2</x:v>
      </x:c>
      <x:c r="BJ23" s="19" t="str">
        <x:v>DSR08A</x:v>
      </x:c>
      <x:c r="BK23" s="19" t="str">
        <x:v>{"Size":"315/80R22.5","PR":20,"Tread Depth mm":21,"Tread Depth 1/32in":26,"Standard Rim":9,"Pressure(PSI) Single":850,"Pressure(PSI) Dual":850,"Max. Load(LBS) Single":4000,"Max. Load(LBS) Dual":3350,"Load Index Single":"156","Load Index Dual":"150","Speed Grade":"L","Overall Diameter mm":1076,"Section Width mm":312,"Overall Diameter inch":42,"Section Width inch":12}</x:v>
      </x:c>
      <x:c r="BL23" s="19" t="str">
        <x:v>verified</x:v>
      </x:c>
      <x:c r="BM23" s="20" t="str">
        <x:v>[]</x:v>
      </x:c>
      <x:c r="BN23" s="20" t="str">
        <x:v>unique</x:v>
      </x:c>
      <x:c r="BO23" s="31" t="b">
        <x:v>0</x:v>
      </x:c>
      <x:c r="BP23" s="30" t="n">
        <x:v>46229</x:v>
      </x:c>
      <x:c r="BQ23" s="30" t="n">
        <x:v>46229.270833333336</x:v>
      </x:c>
    </x:row>
    <x:row r="24">
      <x:c r="A24" s="18" t="str">
        <x:v>BIZON-VAR-DMS100-38565R225-24PR</x:v>
      </x:c>
      <x:c r="B24" s="18" t="str">
        <x:v>BIZON-MODEL-DMS100</x:v>
      </x:c>
      <x:c r="C24" s="18" t="str">
        <x:v>BIZON</x:v>
      </x:c>
      <x:c r="D24" s="18" t="str">
        <x:v>DMS100</x:v>
      </x:c>
      <x:c r="E24" s="18" t="str">
        <x:v>BIZON-DMS100-38565R225-24PR</x:v>
      </x:c>
      <x:c r="F24" s="18" t="str"/>
      <x:c r="G24" s="18" t="str">
        <x:v>active</x:v>
      </x:c>
      <x:c r="H24" s="18" t="str">
        <x:v>draft</x:v>
      </x:c>
      <x:c r="I24" s="19" t="str">
        <x:v>385/65R22.5</x:v>
      </x:c>
      <x:c r="J24" s="18" t="str">
        <x:v>385/65R22.5</x:v>
      </x:c>
      <x:c r="K24" s="18" t="str">
        <x:v>metric</x:v>
      </x:c>
      <x:c r="L24" s="39" t="n">
        <x:v>385</x:v>
      </x:c>
      <x:c r="M24" s="39"/>
      <x:c r="N24" s="40" t="n">
        <x:v>65</x:v>
      </x:c>
      <x:c r="O24" s="18" t="str">
        <x:v>R</x:v>
      </x:c>
      <x:c r="P24" s="39" t="n">
        <x:v>22.5</x:v>
      </x:c>
      <x:c r="Q24" s="18" t="n">
        <x:v>24</x:v>
      </x:c>
      <x:c r="R24" s="39" t="n">
        <x:v>17.5</x:v>
      </x:c>
      <x:c r="S24" s="41" t="n">
        <x:v>22</x:v>
      </x:c>
      <x:c r="T24" s="39" t="n">
        <x:v>11.75</x:v>
      </x:c>
      <x:c r="U24" s="19" t="n">
        <x:v>900</x:v>
      </x:c>
      <x:c r="V24" s="19"/>
      <x:c r="W24" s="19" t="str">
        <x:v>PSI</x:v>
      </x:c>
      <x:c r="X24" s="18" t="n">
        <x:v>900</x:v>
      </x:c>
      <x:c r="Y24" s="18"/>
      <x:c r="Z24" s="39" t="n">
        <x:f>ROUND(X24/100,1)</x:f>
        <x:v>9</x:v>
      </x:c>
      <x:c r="AA24" s="39" t="str">
        <x:f>""</x:f>
      </x:c>
      <x:c r="AB24" s="39" t="n">
        <x:f>ROUND(X24*0.1450377377,1)</x:f>
        <x:v>130.5</x:v>
      </x:c>
      <x:c r="AC24" s="39" t="str">
        <x:f>""</x:f>
      </x:c>
      <x:c r="AD24" s="19" t="str">
        <x:v>verified</x:v>
      </x:c>
      <x:c r="AE24" s="19" t="n">
        <x:v>5000</x:v>
      </x:c>
      <x:c r="AF24" s="19"/>
      <x:c r="AG24" s="19" t="str">
        <x:v>LBS</x:v>
      </x:c>
      <x:c r="AH24" s="18" t="n">
        <x:v>5000</x:v>
      </x:c>
      <x:c r="AI24" s="18"/>
      <x:c r="AJ24" s="18" t="n">
        <x:f>ROUND(AH24*2.2046226218,0)</x:f>
        <x:v>11023</x:v>
      </x:c>
      <x:c r="AK24" s="18" t="str">
        <x:f>""</x:f>
      </x:c>
      <x:c r="AL24" s="19" t="str">
        <x:v>verified</x:v>
      </x:c>
      <x:c r="AM24" s="18" t="n">
        <x:v>164</x:v>
      </x:c>
      <x:c r="AN24" s="18"/>
      <x:c r="AO24" s="19" t="str">
        <x:v>164</x:v>
      </x:c>
      <x:c r="AP24" s="18"/>
      <x:c r="AQ24" s="18" t="str">
        <x:v>K</x:v>
      </x:c>
      <x:c r="AR24" s="18"/>
      <x:c r="AS24" s="19" t="str">
        <x:v>164 K</x:v>
      </x:c>
      <x:c r="AT24" s="19" t="str">
        <x:v>verified</x:v>
      </x:c>
      <x:c r="AU24" s="39" t="n">
        <x:v>1072</x:v>
      </x:c>
      <x:c r="AV24" s="19" t="n">
        <x:v>42</x:v>
      </x:c>
      <x:c r="AW24" s="42" t="n">
        <x:f>ROUND(AU24/25.4,2)</x:f>
        <x:v>42.2</x:v>
      </x:c>
      <x:c r="AX24" s="39" t="n">
        <x:v>389</x:v>
      </x:c>
      <x:c r="AY24" s="19" t="n">
        <x:v>15</x:v>
      </x:c>
      <x:c r="AZ24" s="42" t="n">
        <x:f>ROUND(AX24/25.4,2)</x:f>
        <x:v>15.31</x:v>
      </x:c>
      <x:c r="BA24" s="28" t="b">
        <x:v>1</x:v>
      </x:c>
      <x:c r="BB24" s="28" t="b">
        <x:v>0</x:v>
      </x:c>
      <x:c r="BC24" s="28" t="b">
        <x:v>1</x:v>
      </x:c>
      <x:c r="BD24" s="18" t="str">
        <x:v>["long-haul","regional"]</x:v>
      </x:c>
      <x:c r="BE24" s="18" t="str">
        <x:v>["handling","safety","high-mileage"]</x:v>
      </x:c>
      <x:c r="BF24" s="43" t="b">
        <x:v>1</x:v>
      </x:c>
      <x:c r="BG24" s="19" t="str">
        <x:v>DOUBLESTAR COMBODIA TBR CATALOGUE.pdf</x:v>
      </x:c>
      <x:c r="BH24" s="19" t="n">
        <x:v>5</x:v>
      </x:c>
      <x:c r="BI24" s="19" t="n">
        <x:v>1</x:v>
      </x:c>
      <x:c r="BJ24" s="19" t="str">
        <x:v>DMS100</x:v>
      </x:c>
      <x:c r="BK24" s="19" t="str">
        <x:v>{"Size":"385/65R22.5","PR":24,"Tread Depth mm":17.5,"Tread Depth 1/32in":22,"Standard Rim":11.75,"Pressure(PSI) Single":900,"Pressure(PSI) Dual":null,"Max. Load(LBS) Single":5000,"Max. Load(LBS) Dual":null,"Load Index Single":"164","Load Index Dual":null,"Speed Grade":"K","Overall Diameter mm":1072,"Section Width mm":389,"Overall Diameter inch":42,"Section Width inch":15}</x:v>
      </x:c>
      <x:c r="BL24" s="19" t="str">
        <x:v>verified</x:v>
      </x:c>
      <x:c r="BM24" s="18" t="str">
        <x:v>[]</x:v>
      </x:c>
      <x:c r="BN24" s="18" t="str">
        <x:v>unique</x:v>
      </x:c>
      <x:c r="BO24" s="28" t="b">
        <x:v>0</x:v>
      </x:c>
      <x:c r="BP24" s="30" t="n">
        <x:v>46229</x:v>
      </x:c>
      <x:c r="BQ24" s="30" t="n">
        <x:v>46229.270833333336</x:v>
      </x:c>
    </x:row>
    <x:row r="25">
      <x:c r="A25" s="20" t="str">
        <x:v>BIZON-VAR-DMS100-38555R225-20PR</x:v>
      </x:c>
      <x:c r="B25" s="20" t="str">
        <x:v>BIZON-MODEL-DMS100</x:v>
      </x:c>
      <x:c r="C25" s="20" t="str">
        <x:v>BIZON</x:v>
      </x:c>
      <x:c r="D25" s="20" t="str">
        <x:v>DMS100</x:v>
      </x:c>
      <x:c r="E25" s="20" t="str">
        <x:v>BIZON-DMS100-38555R225-20PR</x:v>
      </x:c>
      <x:c r="F25" s="20" t="str"/>
      <x:c r="G25" s="20" t="str">
        <x:v>active</x:v>
      </x:c>
      <x:c r="H25" s="20" t="str">
        <x:v>draft</x:v>
      </x:c>
      <x:c r="I25" s="19" t="str">
        <x:v>385/55R22.5</x:v>
      </x:c>
      <x:c r="J25" s="20" t="str">
        <x:v>385/55R22.5</x:v>
      </x:c>
      <x:c r="K25" s="20" t="str">
        <x:v>metric</x:v>
      </x:c>
      <x:c r="L25" s="44" t="n">
        <x:v>385</x:v>
      </x:c>
      <x:c r="M25" s="44"/>
      <x:c r="N25" s="45" t="n">
        <x:v>55</x:v>
      </x:c>
      <x:c r="O25" s="20" t="str">
        <x:v>R</x:v>
      </x:c>
      <x:c r="P25" s="44" t="n">
        <x:v>22.5</x:v>
      </x:c>
      <x:c r="Q25" s="20" t="n">
        <x:v>20</x:v>
      </x:c>
      <x:c r="R25" s="44" t="n">
        <x:v>15.3</x:v>
      </x:c>
      <x:c r="S25" s="41" t="n">
        <x:v>19</x:v>
      </x:c>
      <x:c r="T25" s="44" t="n">
        <x:v>12.25</x:v>
      </x:c>
      <x:c r="U25" s="19" t="n">
        <x:v>900</x:v>
      </x:c>
      <x:c r="V25" s="19"/>
      <x:c r="W25" s="19" t="str">
        <x:v>PSI</x:v>
      </x:c>
      <x:c r="X25" s="20" t="n">
        <x:v>900</x:v>
      </x:c>
      <x:c r="Y25" s="20"/>
      <x:c r="Z25" s="44" t="n">
        <x:f>ROUND(X25/100,1)</x:f>
        <x:v>9</x:v>
      </x:c>
      <x:c r="AA25" s="44" t="str">
        <x:f>""</x:f>
      </x:c>
      <x:c r="AB25" s="44" t="n">
        <x:f>ROUND(X25*0.1450377377,1)</x:f>
        <x:v>130.5</x:v>
      </x:c>
      <x:c r="AC25" s="44" t="str">
        <x:f>""</x:f>
      </x:c>
      <x:c r="AD25" s="19" t="str">
        <x:v>verified</x:v>
      </x:c>
      <x:c r="AE25" s="19" t="n">
        <x:v>4500</x:v>
      </x:c>
      <x:c r="AF25" s="19"/>
      <x:c r="AG25" s="19" t="str">
        <x:v>LBS</x:v>
      </x:c>
      <x:c r="AH25" s="20" t="n">
        <x:v>4500</x:v>
      </x:c>
      <x:c r="AI25" s="20"/>
      <x:c r="AJ25" s="20" t="n">
        <x:f>ROUND(AH25*2.2046226218,0)</x:f>
        <x:v>9921</x:v>
      </x:c>
      <x:c r="AK25" s="20" t="str">
        <x:f>""</x:f>
      </x:c>
      <x:c r="AL25" s="19" t="str">
        <x:v>verified</x:v>
      </x:c>
      <x:c r="AM25" s="20" t="n">
        <x:v>160</x:v>
      </x:c>
      <x:c r="AN25" s="20"/>
      <x:c r="AO25" s="19" t="str">
        <x:v>160(158)</x:v>
      </x:c>
      <x:c r="AP25" s="20" t="n">
        <x:v>158</x:v>
      </x:c>
      <x:c r="AQ25" s="20" t="str">
        <x:v>K</x:v>
      </x:c>
      <x:c r="AR25" s="20" t="str">
        <x:v>L</x:v>
      </x:c>
      <x:c r="AS25" s="19" t="str">
        <x:v>160(158) K(L)</x:v>
      </x:c>
      <x:c r="AT25" s="19" t="str">
        <x:v>needs_review</x:v>
      </x:c>
      <x:c r="AU25" s="44" t="n">
        <x:v>996</x:v>
      </x:c>
      <x:c r="AV25" s="19" t="n">
        <x:v>39</x:v>
      </x:c>
      <x:c r="AW25" s="42" t="n">
        <x:f>ROUND(AU25/25.4,2)</x:f>
        <x:v>39.21</x:v>
      </x:c>
      <x:c r="AX25" s="44" t="n">
        <x:v>386</x:v>
      </x:c>
      <x:c r="AY25" s="19" t="n">
        <x:v>15</x:v>
      </x:c>
      <x:c r="AZ25" s="42" t="n">
        <x:f>ROUND(AX25/25.4,2)</x:f>
        <x:v>15.2</x:v>
      </x:c>
      <x:c r="BA25" s="31" t="b">
        <x:v>1</x:v>
      </x:c>
      <x:c r="BB25" s="31" t="b">
        <x:v>0</x:v>
      </x:c>
      <x:c r="BC25" s="31" t="b">
        <x:v>1</x:v>
      </x:c>
      <x:c r="BD25" s="20" t="str">
        <x:v>["long-haul","regional"]</x:v>
      </x:c>
      <x:c r="BE25" s="20" t="str">
        <x:v>["handling","safety","high-mileage"]</x:v>
      </x:c>
      <x:c r="BF25" s="43" t="b">
        <x:v>1</x:v>
      </x:c>
      <x:c r="BG25" s="19" t="str">
        <x:v>DOUBLESTAR COMBODIA TBR CATALOGUE.pdf</x:v>
      </x:c>
      <x:c r="BH25" s="19" t="n">
        <x:v>5</x:v>
      </x:c>
      <x:c r="BI25" s="19" t="n">
        <x:v>2</x:v>
      </x:c>
      <x:c r="BJ25" s="19" t="str">
        <x:v>DMS100</x:v>
      </x:c>
      <x:c r="BK25" s="19" t="str">
        <x:v>{"Size":"385/55R22.5","PR":20,"Tread Depth mm":15.3,"Tread Depth 1/32in":19,"Standard Rim":12.25,"Pressure(PSI) Single":900,"Pressure(PSI) Dual":null,"Max. Load(LBS) Single":4500,"Max. Load(LBS) Dual":null,"Load Index Single":"160(158)","Load Index Dual":null,"Speed Grade":"K(L)","Overall Diameter mm":996,"Section Width mm":386,"Overall Diameter inch":39,"Section Width inch":15}</x:v>
      </x:c>
      <x:c r="BL25" s="19" t="str">
        <x:v>needs_review</x:v>
      </x:c>
      <x:c r="BM25" s="20" t="str">
        <x:v>["alternative_rating_notation"]</x:v>
      </x:c>
      <x:c r="BN25" s="20" t="str">
        <x:v>unique</x:v>
      </x:c>
      <x:c r="BO25" s="31" t="b">
        <x:v>1</x:v>
      </x:c>
      <x:c r="BP25" s="30" t="n">
        <x:v>46229</x:v>
      </x:c>
      <x:c r="BQ25" s="30" t="n">
        <x:v>46229.270833333336</x:v>
      </x:c>
    </x:row>
    <x:row r="26">
      <x:c r="A26" s="18" t="str">
        <x:v>BIZON-VAR-DLS918-29580R225-18PR</x:v>
      </x:c>
      <x:c r="B26" s="18" t="str">
        <x:v>BIZON-MODEL-DLS918</x:v>
      </x:c>
      <x:c r="C26" s="18" t="str">
        <x:v>BIZON</x:v>
      </x:c>
      <x:c r="D26" s="18" t="str">
        <x:v>DLS918</x:v>
      </x:c>
      <x:c r="E26" s="18" t="str">
        <x:v>BIZON-DLS918-29580R225-18PR</x:v>
      </x:c>
      <x:c r="F26" s="18" t="str"/>
      <x:c r="G26" s="18" t="str">
        <x:v>active</x:v>
      </x:c>
      <x:c r="H26" s="18" t="str">
        <x:v>draft</x:v>
      </x:c>
      <x:c r="I26" s="19" t="str">
        <x:v>295/80R22.5</x:v>
      </x:c>
      <x:c r="J26" s="18" t="str">
        <x:v>295/80R22.5</x:v>
      </x:c>
      <x:c r="K26" s="18" t="str">
        <x:v>metric</x:v>
      </x:c>
      <x:c r="L26" s="39" t="n">
        <x:v>295</x:v>
      </x:c>
      <x:c r="M26" s="39"/>
      <x:c r="N26" s="40" t="n">
        <x:v>80</x:v>
      </x:c>
      <x:c r="O26" s="18" t="str">
        <x:v>R</x:v>
      </x:c>
      <x:c r="P26" s="39" t="n">
        <x:v>22.5</x:v>
      </x:c>
      <x:c r="Q26" s="18" t="n">
        <x:v>18</x:v>
      </x:c>
      <x:c r="R26" s="39" t="n">
        <x:v>15</x:v>
      </x:c>
      <x:c r="S26" s="41" t="n">
        <x:v>19</x:v>
      </x:c>
      <x:c r="T26" s="39" t="n">
        <x:v>9</x:v>
      </x:c>
      <x:c r="U26" s="19" t="n">
        <x:v>900</x:v>
      </x:c>
      <x:c r="V26" s="19" t="n">
        <x:v>900</x:v>
      </x:c>
      <x:c r="W26" s="19" t="str">
        <x:v>PSI</x:v>
      </x:c>
      <x:c r="X26" s="18" t="n">
        <x:v>900</x:v>
      </x:c>
      <x:c r="Y26" s="18" t="n">
        <x:v>900</x:v>
      </x:c>
      <x:c r="Z26" s="39" t="n">
        <x:f>ROUND(X26/100,1)</x:f>
        <x:v>9</x:v>
      </x:c>
      <x:c r="AA26" s="39" t="n">
        <x:f>ROUND(Y26/100,1)</x:f>
        <x:v>9</x:v>
      </x:c>
      <x:c r="AB26" s="39" t="n">
        <x:f>ROUND(X26*0.1450377377,1)</x:f>
        <x:v>130.5</x:v>
      </x:c>
      <x:c r="AC26" s="39" t="n">
        <x:f>ROUND(Y26*0.1450377377,1)</x:f>
        <x:v>130.5</x:v>
      </x:c>
      <x:c r="AD26" s="19" t="str">
        <x:v>verified</x:v>
      </x:c>
      <x:c r="AE26" s="19" t="n">
        <x:v>3550</x:v>
      </x:c>
      <x:c r="AF26" s="19" t="n">
        <x:v>3250</x:v>
      </x:c>
      <x:c r="AG26" s="19" t="str">
        <x:v>LBS</x:v>
      </x:c>
      <x:c r="AH26" s="18" t="n">
        <x:v>3550</x:v>
      </x:c>
      <x:c r="AI26" s="18" t="n">
        <x:v>3250</x:v>
      </x:c>
      <x:c r="AJ26" s="18" t="n">
        <x:f>ROUND(AH26*2.2046226218,0)</x:f>
        <x:v>7826</x:v>
      </x:c>
      <x:c r="AK26" s="18" t="n">
        <x:f>ROUND(AI26*2.2046226218,0)</x:f>
        <x:v>7165</x:v>
      </x:c>
      <x:c r="AL26" s="19" t="str">
        <x:v>verified</x:v>
      </x:c>
      <x:c r="AM26" s="18" t="n">
        <x:v>152</x:v>
      </x:c>
      <x:c r="AN26" s="18" t="n">
        <x:v>149</x:v>
      </x:c>
      <x:c r="AO26" s="19" t="str">
        <x:v>152 / 149</x:v>
      </x:c>
      <x:c r="AP26" s="18"/>
      <x:c r="AQ26" s="18" t="str">
        <x:v>L</x:v>
      </x:c>
      <x:c r="AR26" s="18"/>
      <x:c r="AS26" s="19" t="str">
        <x:v>152/149 L</x:v>
      </x:c>
      <x:c r="AT26" s="19" t="str">
        <x:v>verified</x:v>
      </x:c>
      <x:c r="AU26" s="39" t="n">
        <x:v>1044</x:v>
      </x:c>
      <x:c r="AV26" s="19" t="n">
        <x:v>41</x:v>
      </x:c>
      <x:c r="AW26" s="42" t="n">
        <x:f>ROUND(AU26/25.4,2)</x:f>
        <x:v>41.1</x:v>
      </x:c>
      <x:c r="AX26" s="39" t="n">
        <x:v>298</x:v>
      </x:c>
      <x:c r="AY26" s="19" t="n">
        <x:v>12</x:v>
      </x:c>
      <x:c r="AZ26" s="42" t="n">
        <x:f>ROUND(AX26/25.4,2)</x:f>
        <x:v>11.73</x:v>
      </x:c>
      <x:c r="BA26" s="28" t="b">
        <x:v>1</x:v>
      </x:c>
      <x:c r="BB26" s="28" t="b">
        <x:v>0</x:v>
      </x:c>
      <x:c r="BC26" s="28" t="b">
        <x:v>1</x:v>
      </x:c>
      <x:c r="BD26" s="18" t="str">
        <x:v>["long-haul","regional"]</x:v>
      </x:c>
      <x:c r="BE26" s="18" t="str">
        <x:v>["handling","safety","high-mileage"]</x:v>
      </x:c>
      <x:c r="BF26" s="43" t="b">
        <x:v>1</x:v>
      </x:c>
      <x:c r="BG26" s="19" t="str">
        <x:v>DOUBLESTAR COMBODIA TBR CATALOGUE.pdf</x:v>
      </x:c>
      <x:c r="BH26" s="19" t="n">
        <x:v>5</x:v>
      </x:c>
      <x:c r="BI26" s="19" t="n">
        <x:v>1</x:v>
      </x:c>
      <x:c r="BJ26" s="19" t="str">
        <x:v>DLS918</x:v>
      </x:c>
      <x:c r="BK26" s="19" t="str">
        <x:v>{"Size":"295/80R22.5","PR":18,"Tread Depth mm":15,"Tread Depth 1/32in":19,"Standard Rim":9,"Pressure(PSI) Single":900,"Pressure(PSI) Dual":900,"Max. Load(LBS) Single":3550,"Max. Load(LBS) Dual":3250,"Load Index Single":"152","Load Index Dual":"149","Speed Grade":"L","Overall Diameter mm":1044,"Section Width mm":298,"Overall Diameter inch":41,"Section Width inch":12}</x:v>
      </x:c>
      <x:c r="BL26" s="19" t="str">
        <x:v>verified</x:v>
      </x:c>
      <x:c r="BM26" s="18" t="str">
        <x:v>[]</x:v>
      </x:c>
      <x:c r="BN26" s="18" t="str">
        <x:v>unique</x:v>
      </x:c>
      <x:c r="BO26" s="28" t="b">
        <x:v>0</x:v>
      </x:c>
      <x:c r="BP26" s="30" t="n">
        <x:v>46229</x:v>
      </x:c>
      <x:c r="BQ26" s="30" t="n">
        <x:v>46229.270833333336</x:v>
      </x:c>
    </x:row>
    <x:row r="27">
      <x:c r="A27" s="20" t="str">
        <x:v>BIZON-VAR-DSR118-38565R225-20PR</x:v>
      </x:c>
      <x:c r="B27" s="20" t="str">
        <x:v>BIZON-MODEL-DSR118</x:v>
      </x:c>
      <x:c r="C27" s="20" t="str">
        <x:v>BIZON</x:v>
      </x:c>
      <x:c r="D27" s="20" t="str">
        <x:v>DSR118</x:v>
      </x:c>
      <x:c r="E27" s="20" t="str">
        <x:v>BIZON-DSR118-38565R225-20PR</x:v>
      </x:c>
      <x:c r="F27" s="20" t="str"/>
      <x:c r="G27" s="20" t="str">
        <x:v>active</x:v>
      </x:c>
      <x:c r="H27" s="20" t="str">
        <x:v>draft</x:v>
      </x:c>
      <x:c r="I27" s="19" t="str">
        <x:v>385/65R22.5</x:v>
      </x:c>
      <x:c r="J27" s="20" t="str">
        <x:v>385/65R22.5</x:v>
      </x:c>
      <x:c r="K27" s="20" t="str">
        <x:v>metric</x:v>
      </x:c>
      <x:c r="L27" s="44" t="n">
        <x:v>385</x:v>
      </x:c>
      <x:c r="M27" s="44"/>
      <x:c r="N27" s="45" t="n">
        <x:v>65</x:v>
      </x:c>
      <x:c r="O27" s="20" t="str">
        <x:v>R</x:v>
      </x:c>
      <x:c r="P27" s="44" t="n">
        <x:v>22.5</x:v>
      </x:c>
      <x:c r="Q27" s="20" t="n">
        <x:v>20</x:v>
      </x:c>
      <x:c r="R27" s="44" t="n">
        <x:v>15</x:v>
      </x:c>
      <x:c r="S27" s="41" t="n">
        <x:v>19</x:v>
      </x:c>
      <x:c r="T27" s="44" t="n">
        <x:v>11.75</x:v>
      </x:c>
      <x:c r="U27" s="19" t="n">
        <x:v>900</x:v>
      </x:c>
      <x:c r="V27" s="19"/>
      <x:c r="W27" s="19" t="str">
        <x:v>PSI</x:v>
      </x:c>
      <x:c r="X27" s="20" t="n">
        <x:v>900</x:v>
      </x:c>
      <x:c r="Y27" s="20"/>
      <x:c r="Z27" s="44" t="n">
        <x:f>ROUND(X27/100,1)</x:f>
        <x:v>9</x:v>
      </x:c>
      <x:c r="AA27" s="44" t="str">
        <x:f>""</x:f>
      </x:c>
      <x:c r="AB27" s="44" t="n">
        <x:f>ROUND(X27*0.1450377377,1)</x:f>
        <x:v>130.5</x:v>
      </x:c>
      <x:c r="AC27" s="44" t="str">
        <x:f>""</x:f>
      </x:c>
      <x:c r="AD27" s="19" t="str">
        <x:v>verified</x:v>
      </x:c>
      <x:c r="AE27" s="19" t="n">
        <x:v>4450</x:v>
      </x:c>
      <x:c r="AF27" s="19"/>
      <x:c r="AG27" s="19" t="str">
        <x:v>LBS</x:v>
      </x:c>
      <x:c r="AH27" s="20" t="n">
        <x:v>4450</x:v>
      </x:c>
      <x:c r="AI27" s="20"/>
      <x:c r="AJ27" s="20" t="n">
        <x:f>ROUND(AH27*2.2046226218,0)</x:f>
        <x:v>9811</x:v>
      </x:c>
      <x:c r="AK27" s="20" t="str">
        <x:f>""</x:f>
      </x:c>
      <x:c r="AL27" s="19" t="str">
        <x:v>verified</x:v>
      </x:c>
      <x:c r="AM27" s="20" t="n">
        <x:v>160</x:v>
      </x:c>
      <x:c r="AN27" s="20"/>
      <x:c r="AO27" s="19" t="str">
        <x:v>160(158)</x:v>
      </x:c>
      <x:c r="AP27" s="20" t="n">
        <x:v>158</x:v>
      </x:c>
      <x:c r="AQ27" s="20" t="str">
        <x:v>K</x:v>
      </x:c>
      <x:c r="AR27" s="20" t="str">
        <x:v>L</x:v>
      </x:c>
      <x:c r="AS27" s="19" t="str">
        <x:v>160(158) K(L)</x:v>
      </x:c>
      <x:c r="AT27" s="19" t="str">
        <x:v>needs_review</x:v>
      </x:c>
      <x:c r="AU27" s="44" t="n">
        <x:v>1072</x:v>
      </x:c>
      <x:c r="AV27" s="19" t="n">
        <x:v>42</x:v>
      </x:c>
      <x:c r="AW27" s="42" t="n">
        <x:f>ROUND(AU27/25.4,2)</x:f>
        <x:v>42.2</x:v>
      </x:c>
      <x:c r="AX27" s="44" t="n">
        <x:v>389</x:v>
      </x:c>
      <x:c r="AY27" s="19" t="n">
        <x:v>15</x:v>
      </x:c>
      <x:c r="AZ27" s="42" t="n">
        <x:f>ROUND(AX27/25.4,2)</x:f>
        <x:v>15.31</x:v>
      </x:c>
      <x:c r="BA27" s="31" t="b">
        <x:v>0</x:v>
      </x:c>
      <x:c r="BB27" s="31" t="b">
        <x:v>0</x:v>
      </x:c>
      <x:c r="BC27" s="31" t="b">
        <x:v>1</x:v>
      </x:c>
      <x:c r="BD27" s="20" t="str">
        <x:v>["long-haul","urban"]</x:v>
      </x:c>
      <x:c r="BE27" s="20" t="str">
        <x:v>["low-noise","heavy-load","safety","retreadability"]</x:v>
      </x:c>
      <x:c r="BF27" s="43" t="b">
        <x:v>1</x:v>
      </x:c>
      <x:c r="BG27" s="19" t="str">
        <x:v>DOUBLESTAR COMBODIA TBR CATALOGUE.pdf</x:v>
      </x:c>
      <x:c r="BH27" s="19" t="n">
        <x:v>5</x:v>
      </x:c>
      <x:c r="BI27" s="19" t="n">
        <x:v>1</x:v>
      </x:c>
      <x:c r="BJ27" s="19" t="str">
        <x:v>DSR118</x:v>
      </x:c>
      <x:c r="BK27" s="19" t="str">
        <x:v>{"Size":"385/65R22.5","PR":20,"Tread Depth mm":15,"Tread Depth 1/32in":19,"Standard Rim":11.75,"Pressure(PSI) Single":900,"Pressure(PSI) Dual":null,"Max. Load(LBS) Single":4450,"Max. Load(LBS) Dual":null,"Load Index Single":"160(158)","Load Index Dual":null,"Speed Grade":"K(L)","Overall Diameter mm":1072,"Section Width mm":389,"Overall Diameter inch":42,"Section Width inch":15}</x:v>
      </x:c>
      <x:c r="BL27" s="19" t="str">
        <x:v>needs_review</x:v>
      </x:c>
      <x:c r="BM27" s="20" t="str">
        <x:v>["alternative_rating_notation"]</x:v>
      </x:c>
      <x:c r="BN27" s="20" t="str">
        <x:v>unique</x:v>
      </x:c>
      <x:c r="BO27" s="31" t="b">
        <x:v>1</x:v>
      </x:c>
      <x:c r="BP27" s="30" t="n">
        <x:v>46229</x:v>
      </x:c>
      <x:c r="BQ27" s="30" t="n">
        <x:v>46229.270833333336</x:v>
      </x:c>
    </x:row>
    <x:row r="28">
      <x:c r="A28" s="18" t="str">
        <x:v>BIZON-VAR-DSR566-29580R225-18PR</x:v>
      </x:c>
      <x:c r="B28" s="18" t="str">
        <x:v>BIZON-MODEL-DSR566</x:v>
      </x:c>
      <x:c r="C28" s="18" t="str">
        <x:v>BIZON</x:v>
      </x:c>
      <x:c r="D28" s="18" t="str">
        <x:v>DSR566</x:v>
      </x:c>
      <x:c r="E28" s="18" t="str">
        <x:v>BIZON-DSR566-29580R225-18PR</x:v>
      </x:c>
      <x:c r="F28" s="18" t="str"/>
      <x:c r="G28" s="18" t="str">
        <x:v>active</x:v>
      </x:c>
      <x:c r="H28" s="18" t="str">
        <x:v>draft</x:v>
      </x:c>
      <x:c r="I28" s="19" t="str">
        <x:v>295/80R22.5</x:v>
      </x:c>
      <x:c r="J28" s="18" t="str">
        <x:v>295/80R22.5</x:v>
      </x:c>
      <x:c r="K28" s="18" t="str">
        <x:v>metric</x:v>
      </x:c>
      <x:c r="L28" s="39" t="n">
        <x:v>295</x:v>
      </x:c>
      <x:c r="M28" s="39"/>
      <x:c r="N28" s="40" t="n">
        <x:v>80</x:v>
      </x:c>
      <x:c r="O28" s="18" t="str">
        <x:v>R</x:v>
      </x:c>
      <x:c r="P28" s="39" t="n">
        <x:v>22.5</x:v>
      </x:c>
      <x:c r="Q28" s="18" t="n">
        <x:v>18</x:v>
      </x:c>
      <x:c r="R28" s="39" t="n">
        <x:v>14.5</x:v>
      </x:c>
      <x:c r="S28" s="41" t="n">
        <x:v>18</x:v>
      </x:c>
      <x:c r="T28" s="39" t="n">
        <x:v>9</x:v>
      </x:c>
      <x:c r="U28" s="19" t="n">
        <x:v>850</x:v>
      </x:c>
      <x:c r="V28" s="19" t="n">
        <x:v>850</x:v>
      </x:c>
      <x:c r="W28" s="19" t="str">
        <x:v>PSI</x:v>
      </x:c>
      <x:c r="X28" s="18" t="n">
        <x:v>850</x:v>
      </x:c>
      <x:c r="Y28" s="18" t="n">
        <x:v>850</x:v>
      </x:c>
      <x:c r="Z28" s="39" t="n">
        <x:f>ROUND(X28/100,1)</x:f>
        <x:v>8.5</x:v>
      </x:c>
      <x:c r="AA28" s="39" t="n">
        <x:f>ROUND(Y28/100,1)</x:f>
        <x:v>8.5</x:v>
      </x:c>
      <x:c r="AB28" s="39" t="n">
        <x:f>ROUND(X28*0.1450377377,1)</x:f>
        <x:v>123.3</x:v>
      </x:c>
      <x:c r="AC28" s="39" t="n">
        <x:f>ROUND(Y28*0.1450377377,1)</x:f>
        <x:v>123.3</x:v>
      </x:c>
      <x:c r="AD28" s="19" t="str">
        <x:v>verified</x:v>
      </x:c>
      <x:c r="AE28" s="19" t="n">
        <x:v>3750</x:v>
      </x:c>
      <x:c r="AF28" s="19" t="n">
        <x:v>3550</x:v>
      </x:c>
      <x:c r="AG28" s="19" t="str">
        <x:v>LBS</x:v>
      </x:c>
      <x:c r="AH28" s="18" t="n">
        <x:v>3750</x:v>
      </x:c>
      <x:c r="AI28" s="18" t="n">
        <x:v>3550</x:v>
      </x:c>
      <x:c r="AJ28" s="18" t="n">
        <x:f>ROUND(AH28*2.2046226218,0)</x:f>
        <x:v>8267</x:v>
      </x:c>
      <x:c r="AK28" s="18" t="n">
        <x:f>ROUND(AI28*2.2046226218,0)</x:f>
        <x:v>7826</x:v>
      </x:c>
      <x:c r="AL28" s="19" t="str">
        <x:v>verified</x:v>
      </x:c>
      <x:c r="AM28" s="18" t="n">
        <x:v>154</x:v>
      </x:c>
      <x:c r="AN28" s="18" t="n">
        <x:v>152</x:v>
      </x:c>
      <x:c r="AO28" s="19" t="str">
        <x:v>154 / 152</x:v>
      </x:c>
      <x:c r="AP28" s="18"/>
      <x:c r="AQ28" s="18" t="str">
        <x:v>M</x:v>
      </x:c>
      <x:c r="AR28" s="18"/>
      <x:c r="AS28" s="19" t="str">
        <x:v>154/152 M</x:v>
      </x:c>
      <x:c r="AT28" s="19" t="str">
        <x:v>verified</x:v>
      </x:c>
      <x:c r="AU28" s="39" t="n">
        <x:v>1044</x:v>
      </x:c>
      <x:c r="AV28" s="19" t="n">
        <x:v>41</x:v>
      </x:c>
      <x:c r="AW28" s="42" t="n">
        <x:f>ROUND(AU28/25.4,2)</x:f>
        <x:v>41.1</x:v>
      </x:c>
      <x:c r="AX28" s="39" t="n">
        <x:v>298</x:v>
      </x:c>
      <x:c r="AY28" s="19" t="n">
        <x:v>12</x:v>
      </x:c>
      <x:c r="AZ28" s="42" t="n">
        <x:f>ROUND(AX28/25.4,2)</x:f>
        <x:v>11.73</x:v>
      </x:c>
      <x:c r="BA28" s="28" t="b">
        <x:v>1</x:v>
      </x:c>
      <x:c r="BB28" s="28" t="b">
        <x:v>0</x:v>
      </x:c>
      <x:c r="BC28" s="28" t="b">
        <x:v>1</x:v>
      </x:c>
      <x:c r="BD28" s="18" t="str">
        <x:v>["long-haul"]</x:v>
      </x:c>
      <x:c r="BE28" s="18" t="str">
        <x:v>["anti-wear","low-noise","economy","high-mileage"]</x:v>
      </x:c>
      <x:c r="BF28" s="43" t="b">
        <x:v>1</x:v>
      </x:c>
      <x:c r="BG28" s="19" t="str">
        <x:v>DOUBLESTAR COMBODIA TBR CATALOGUE.pdf</x:v>
      </x:c>
      <x:c r="BH28" s="19" t="n">
        <x:v>5</x:v>
      </x:c>
      <x:c r="BI28" s="19" t="n">
        <x:v>1</x:v>
      </x:c>
      <x:c r="BJ28" s="19" t="str">
        <x:v>DSR566</x:v>
      </x:c>
      <x:c r="BK28" s="19" t="str">
        <x:v>{"Size":"295/80R22.5","PR":18,"Tread Depth mm":14.5,"Tread Depth 1/32in":18,"Standard Rim":9,"Pressure(PSI) Single":850,"Pressure(PSI) Dual":850,"Max. Load(LBS) Single":3750,"Max. Load(LBS) Dual":3550,"Load Index Single":"154","Load Index Dual":"152","Speed Grade":"M","Overall Diameter mm":1044,"Section Width mm":298,"Overall Diameter inch":41,"Section Width inch":12}</x:v>
      </x:c>
      <x:c r="BL28" s="19" t="str">
        <x:v>verified</x:v>
      </x:c>
      <x:c r="BM28" s="18" t="str">
        <x:v>[]</x:v>
      </x:c>
      <x:c r="BN28" s="18" t="str">
        <x:v>unique</x:v>
      </x:c>
      <x:c r="BO28" s="28" t="b">
        <x:v>0</x:v>
      </x:c>
      <x:c r="BP28" s="30" t="n">
        <x:v>46229</x:v>
      </x:c>
      <x:c r="BQ28" s="30" t="n">
        <x:v>46229.270833333336</x:v>
      </x:c>
    </x:row>
    <x:row r="29">
      <x:c r="A29" s="20" t="str">
        <x:v>BIZON-VAR-DLD815-29580R225-18PR</x:v>
      </x:c>
      <x:c r="B29" s="20" t="str">
        <x:v>BIZON-MODEL-DLD815</x:v>
      </x:c>
      <x:c r="C29" s="20" t="str">
        <x:v>BIZON</x:v>
      </x:c>
      <x:c r="D29" s="20" t="str">
        <x:v>DLD815</x:v>
      </x:c>
      <x:c r="E29" s="20" t="str">
        <x:v>BIZON-DLD815-29580R225-18PR</x:v>
      </x:c>
      <x:c r="F29" s="20" t="str"/>
      <x:c r="G29" s="20" t="str">
        <x:v>active</x:v>
      </x:c>
      <x:c r="H29" s="20" t="str">
        <x:v>draft</x:v>
      </x:c>
      <x:c r="I29" s="19" t="str">
        <x:v>295/80R22.5</x:v>
      </x:c>
      <x:c r="J29" s="20" t="str">
        <x:v>295/80R22.5</x:v>
      </x:c>
      <x:c r="K29" s="20" t="str">
        <x:v>metric</x:v>
      </x:c>
      <x:c r="L29" s="44" t="n">
        <x:v>295</x:v>
      </x:c>
      <x:c r="M29" s="44"/>
      <x:c r="N29" s="45" t="n">
        <x:v>80</x:v>
      </x:c>
      <x:c r="O29" s="20" t="str">
        <x:v>R</x:v>
      </x:c>
      <x:c r="P29" s="44" t="n">
        <x:v>22.5</x:v>
      </x:c>
      <x:c r="Q29" s="20" t="n">
        <x:v>18</x:v>
      </x:c>
      <x:c r="R29" s="44" t="n">
        <x:v>18</x:v>
      </x:c>
      <x:c r="S29" s="41" t="n">
        <x:v>23</x:v>
      </x:c>
      <x:c r="T29" s="44" t="n">
        <x:v>9</x:v>
      </x:c>
      <x:c r="U29" s="19" t="n">
        <x:v>900</x:v>
      </x:c>
      <x:c r="V29" s="19" t="n">
        <x:v>900</x:v>
      </x:c>
      <x:c r="W29" s="19" t="str">
        <x:v>PSI</x:v>
      </x:c>
      <x:c r="X29" s="20" t="n">
        <x:v>900</x:v>
      </x:c>
      <x:c r="Y29" s="20" t="n">
        <x:v>900</x:v>
      </x:c>
      <x:c r="Z29" s="44" t="n">
        <x:f>ROUND(X29/100,1)</x:f>
        <x:v>9</x:v>
      </x:c>
      <x:c r="AA29" s="44" t="n">
        <x:f>ROUND(Y29/100,1)</x:f>
        <x:v>9</x:v>
      </x:c>
      <x:c r="AB29" s="44" t="n">
        <x:f>ROUND(X29*0.1450377377,1)</x:f>
        <x:v>130.5</x:v>
      </x:c>
      <x:c r="AC29" s="44" t="n">
        <x:f>ROUND(Y29*0.1450377377,1)</x:f>
        <x:v>130.5</x:v>
      </x:c>
      <x:c r="AD29" s="19" t="str">
        <x:v>verified</x:v>
      </x:c>
      <x:c r="AE29" s="19" t="n">
        <x:v>3550</x:v>
      </x:c>
      <x:c r="AF29" s="19" t="n">
        <x:v>3250</x:v>
      </x:c>
      <x:c r="AG29" s="19" t="str">
        <x:v>LBS</x:v>
      </x:c>
      <x:c r="AH29" s="20" t="n">
        <x:v>3550</x:v>
      </x:c>
      <x:c r="AI29" s="20" t="n">
        <x:v>3250</x:v>
      </x:c>
      <x:c r="AJ29" s="20" t="n">
        <x:f>ROUND(AH29*2.2046226218,0)</x:f>
        <x:v>7826</x:v>
      </x:c>
      <x:c r="AK29" s="20" t="n">
        <x:f>ROUND(AI29*2.2046226218,0)</x:f>
        <x:v>7165</x:v>
      </x:c>
      <x:c r="AL29" s="19" t="str">
        <x:v>verified</x:v>
      </x:c>
      <x:c r="AM29" s="20" t="n">
        <x:v>152</x:v>
      </x:c>
      <x:c r="AN29" s="20" t="n">
        <x:v>149</x:v>
      </x:c>
      <x:c r="AO29" s="19" t="str">
        <x:v>152 / 149</x:v>
      </x:c>
      <x:c r="AP29" s="20"/>
      <x:c r="AQ29" s="20" t="str">
        <x:v>L</x:v>
      </x:c>
      <x:c r="AR29" s="20"/>
      <x:c r="AS29" s="19" t="str">
        <x:v>152/149 L</x:v>
      </x:c>
      <x:c r="AT29" s="19" t="str">
        <x:v>verified</x:v>
      </x:c>
      <x:c r="AU29" s="44" t="n">
        <x:v>1044</x:v>
      </x:c>
      <x:c r="AV29" s="19" t="n">
        <x:v>41</x:v>
      </x:c>
      <x:c r="AW29" s="42" t="n">
        <x:f>ROUND(AU29/25.4,2)</x:f>
        <x:v>41.1</x:v>
      </x:c>
      <x:c r="AX29" s="44" t="n">
        <x:v>298</x:v>
      </x:c>
      <x:c r="AY29" s="19" t="n">
        <x:v>12</x:v>
      </x:c>
      <x:c r="AZ29" s="42" t="n">
        <x:f>ROUND(AX29/25.4,2)</x:f>
        <x:v>11.73</x:v>
      </x:c>
      <x:c r="BA29" s="31" t="b">
        <x:v>0</x:v>
      </x:c>
      <x:c r="BB29" s="31" t="b">
        <x:v>1</x:v>
      </x:c>
      <x:c r="BC29" s="31" t="b">
        <x:v>0</x:v>
      </x:c>
      <x:c r="BD29" s="20" t="str">
        <x:v>["long-haul"]</x:v>
      </x:c>
      <x:c r="BE29" s="20" t="str">
        <x:v>["safety","high-mileage","wet-grip","heat-dissipation"]</x:v>
      </x:c>
      <x:c r="BF29" s="43" t="b">
        <x:v>1</x:v>
      </x:c>
      <x:c r="BG29" s="19" t="str">
        <x:v>DOUBLESTAR COMBODIA TBR CATALOGUE.pdf</x:v>
      </x:c>
      <x:c r="BH29" s="19" t="n">
        <x:v>6</x:v>
      </x:c>
      <x:c r="BI29" s="19" t="n">
        <x:v>1</x:v>
      </x:c>
      <x:c r="BJ29" s="19" t="str">
        <x:v>DLD815</x:v>
      </x:c>
      <x:c r="BK29" s="19" t="str">
        <x:v>{"Size":"295/80R22.5","PR":18,"Tread Depth mm":18,"Tread Depth 1/32in":23,"Standard Rim":9,"Pressure(PSI) Single":900,"Pressure(PSI) Dual":900,"Max. Load(LBS) Single":3550,"Max. Load(LBS) Dual":3250,"Load Index Single":"152","Load Index Dual":"149","Speed Grade":"L","Overall Diameter mm":1044,"Section Width mm":298,"Overall Diameter inch":41,"Section Width inch":12}</x:v>
      </x:c>
      <x:c r="BL29" s="19" t="str">
        <x:v>verified</x:v>
      </x:c>
      <x:c r="BM29" s="20" t="str">
        <x:v>[]</x:v>
      </x:c>
      <x:c r="BN29" s="20" t="str">
        <x:v>unique</x:v>
      </x:c>
      <x:c r="BO29" s="31" t="b">
        <x:v>0</x:v>
      </x:c>
      <x:c r="BP29" s="30" t="n">
        <x:v>46229</x:v>
      </x:c>
      <x:c r="BQ29" s="30" t="n">
        <x:v>46229.270833333336</x:v>
      </x:c>
    </x:row>
    <x:row r="30">
      <x:c r="A30" s="18" t="str">
        <x:v>BIZON-VAR-DWD100-31570R225-18PR</x:v>
      </x:c>
      <x:c r="B30" s="18" t="str">
        <x:v>BIZON-MODEL-DWD100</x:v>
      </x:c>
      <x:c r="C30" s="18" t="str">
        <x:v>BIZON</x:v>
      </x:c>
      <x:c r="D30" s="18" t="str">
        <x:v>DWD100</x:v>
      </x:c>
      <x:c r="E30" s="18" t="str">
        <x:v>BIZON-DWD100-31570R225-18PR</x:v>
      </x:c>
      <x:c r="F30" s="18" t="str"/>
      <x:c r="G30" s="18" t="str">
        <x:v>active</x:v>
      </x:c>
      <x:c r="H30" s="18" t="str">
        <x:v>draft</x:v>
      </x:c>
      <x:c r="I30" s="19" t="str">
        <x:v>315/70R22.5</x:v>
      </x:c>
      <x:c r="J30" s="18" t="str">
        <x:v>315/70R22.5</x:v>
      </x:c>
      <x:c r="K30" s="18" t="str">
        <x:v>metric</x:v>
      </x:c>
      <x:c r="L30" s="39" t="n">
        <x:v>315</x:v>
      </x:c>
      <x:c r="M30" s="39"/>
      <x:c r="N30" s="40" t="n">
        <x:v>70</x:v>
      </x:c>
      <x:c r="O30" s="18" t="str">
        <x:v>R</x:v>
      </x:c>
      <x:c r="P30" s="39" t="n">
        <x:v>22.5</x:v>
      </x:c>
      <x:c r="Q30" s="18" t="n">
        <x:v>18</x:v>
      </x:c>
      <x:c r="R30" s="39" t="n">
        <x:v>18.5</x:v>
      </x:c>
      <x:c r="S30" s="41" t="n">
        <x:v>23</x:v>
      </x:c>
      <x:c r="T30" s="39" t="n">
        <x:v>9</x:v>
      </x:c>
      <x:c r="U30" s="19" t="n">
        <x:v>900</x:v>
      </x:c>
      <x:c r="V30" s="19" t="n">
        <x:v>900</x:v>
      </x:c>
      <x:c r="W30" s="19" t="str">
        <x:v>PSI</x:v>
      </x:c>
      <x:c r="X30" s="18" t="n">
        <x:v>900</x:v>
      </x:c>
      <x:c r="Y30" s="18" t="n">
        <x:v>900</x:v>
      </x:c>
      <x:c r="Z30" s="39" t="n">
        <x:f>ROUND(X30/100,1)</x:f>
        <x:v>9</x:v>
      </x:c>
      <x:c r="AA30" s="39" t="n">
        <x:f>ROUND(Y30/100,1)</x:f>
        <x:v>9</x:v>
      </x:c>
      <x:c r="AB30" s="39" t="n">
        <x:f>ROUND(X30*0.1450377377,1)</x:f>
        <x:v>130.5</x:v>
      </x:c>
      <x:c r="AC30" s="39" t="n">
        <x:f>ROUND(Y30*0.1450377377,1)</x:f>
        <x:v>130.5</x:v>
      </x:c>
      <x:c r="AD30" s="19" t="str">
        <x:v>verified</x:v>
      </x:c>
      <x:c r="AE30" s="19" t="n">
        <x:v>3750</x:v>
      </x:c>
      <x:c r="AF30" s="19" t="n">
        <x:v>3350</x:v>
      </x:c>
      <x:c r="AG30" s="19" t="str">
        <x:v>LBS</x:v>
      </x:c>
      <x:c r="AH30" s="18" t="n">
        <x:v>3750</x:v>
      </x:c>
      <x:c r="AI30" s="18" t="n">
        <x:v>3350</x:v>
      </x:c>
      <x:c r="AJ30" s="18" t="n">
        <x:f>ROUND(AH30*2.2046226218,0)</x:f>
        <x:v>8267</x:v>
      </x:c>
      <x:c r="AK30" s="18" t="n">
        <x:f>ROUND(AI30*2.2046226218,0)</x:f>
        <x:v>7385</x:v>
      </x:c>
      <x:c r="AL30" s="19" t="str">
        <x:v>verified</x:v>
      </x:c>
      <x:c r="AM30" s="18" t="n">
        <x:v>154</x:v>
      </x:c>
      <x:c r="AN30" s="18" t="n">
        <x:v>150</x:v>
      </x:c>
      <x:c r="AO30" s="19" t="str">
        <x:v>154 / 150</x:v>
      </x:c>
      <x:c r="AP30" s="18"/>
      <x:c r="AQ30" s="18" t="str">
        <x:v>L</x:v>
      </x:c>
      <x:c r="AR30" s="18"/>
      <x:c r="AS30" s="19" t="str">
        <x:v>154/150 L</x:v>
      </x:c>
      <x:c r="AT30" s="19" t="str">
        <x:v>verified</x:v>
      </x:c>
      <x:c r="AU30" s="39" t="n">
        <x:v>1020</x:v>
      </x:c>
      <x:c r="AV30" s="19" t="n">
        <x:v>40</x:v>
      </x:c>
      <x:c r="AW30" s="42" t="n">
        <x:f>ROUND(AU30/25.4,2)</x:f>
        <x:v>40.16</x:v>
      </x:c>
      <x:c r="AX30" s="39" t="n">
        <x:v>312</x:v>
      </x:c>
      <x:c r="AY30" s="19" t="n">
        <x:v>12</x:v>
      </x:c>
      <x:c r="AZ30" s="42" t="n">
        <x:f>ROUND(AX30/25.4,2)</x:f>
        <x:v>12.28</x:v>
      </x:c>
      <x:c r="BA30" s="28" t="b">
        <x:v>1</x:v>
      </x:c>
      <x:c r="BB30" s="28" t="b">
        <x:v>1</x:v>
      </x:c>
      <x:c r="BC30" s="28" t="b">
        <x:v>1</x:v>
      </x:c>
      <x:c r="BD30" s="18" t="str">
        <x:v>["winter","snow-mud"]</x:v>
      </x:c>
      <x:c r="BE30" s="18" t="str">
        <x:v>["wet-grip","safety","retreadability"]</x:v>
      </x:c>
      <x:c r="BF30" s="43" t="b">
        <x:v>1</x:v>
      </x:c>
      <x:c r="BG30" s="19" t="str">
        <x:v>DOUBLESTAR COMBODIA TBR CATALOGUE.pdf</x:v>
      </x:c>
      <x:c r="BH30" s="19" t="n">
        <x:v>6</x:v>
      </x:c>
      <x:c r="BI30" s="19" t="n">
        <x:v>1</x:v>
      </x:c>
      <x:c r="BJ30" s="19" t="str">
        <x:v>DWD100</x:v>
      </x:c>
      <x:c r="BK30" s="19" t="str">
        <x:v>{"Size":"315/70R22.5","PR":18,"Tread Depth mm":18.5,"Tread Depth 1/32in":23,"Standard Rim":9,"Pressure(PSI) Single":900,"Pressure(PSI) Dual":900,"Max. Load(LBS) Single":3750,"Max. Load(LBS) Dual":3350,"Load Index Single":"154","Load Index Dual":"150","Speed Grade":"L","Overall Diameter mm":1020,"Section Width mm":312,"Overall Diameter inch":40,"Section Width inch":12}</x:v>
      </x:c>
      <x:c r="BL30" s="19" t="str">
        <x:v>verified</x:v>
      </x:c>
      <x:c r="BM30" s="18" t="str">
        <x:v>[]</x:v>
      </x:c>
      <x:c r="BN30" s="18" t="str">
        <x:v>unique</x:v>
      </x:c>
      <x:c r="BO30" s="28" t="b">
        <x:v>0</x:v>
      </x:c>
      <x:c r="BP30" s="30" t="n">
        <x:v>46229</x:v>
      </x:c>
      <x:c r="BQ30" s="30" t="n">
        <x:v>46229.270833333336</x:v>
      </x:c>
    </x:row>
    <x:row r="31">
      <x:c r="A31" s="20" t="str">
        <x:v>BIZON-VAR-DWD100-31580R225-18PR</x:v>
      </x:c>
      <x:c r="B31" s="20" t="str">
        <x:v>BIZON-MODEL-DWD100</x:v>
      </x:c>
      <x:c r="C31" s="20" t="str">
        <x:v>BIZON</x:v>
      </x:c>
      <x:c r="D31" s="20" t="str">
        <x:v>DWD100</x:v>
      </x:c>
      <x:c r="E31" s="20" t="str">
        <x:v>BIZON-DWD100-31580R225-18PR</x:v>
      </x:c>
      <x:c r="F31" s="20" t="str"/>
      <x:c r="G31" s="20" t="str">
        <x:v>active</x:v>
      </x:c>
      <x:c r="H31" s="20" t="str">
        <x:v>draft</x:v>
      </x:c>
      <x:c r="I31" s="19" t="str">
        <x:v>315/80R22.5</x:v>
      </x:c>
      <x:c r="J31" s="20" t="str">
        <x:v>315/80R22.5</x:v>
      </x:c>
      <x:c r="K31" s="20" t="str">
        <x:v>metric</x:v>
      </x:c>
      <x:c r="L31" s="44" t="n">
        <x:v>315</x:v>
      </x:c>
      <x:c r="M31" s="44"/>
      <x:c r="N31" s="45" t="n">
        <x:v>80</x:v>
      </x:c>
      <x:c r="O31" s="20" t="str">
        <x:v>R</x:v>
      </x:c>
      <x:c r="P31" s="44" t="n">
        <x:v>22.5</x:v>
      </x:c>
      <x:c r="Q31" s="20" t="n">
        <x:v>18</x:v>
      </x:c>
      <x:c r="R31" s="44" t="n">
        <x:v>18.5</x:v>
      </x:c>
      <x:c r="S31" s="41" t="n">
        <x:v>23</x:v>
      </x:c>
      <x:c r="T31" s="44" t="n">
        <x:v>9</x:v>
      </x:c>
      <x:c r="U31" s="19" t="n">
        <x:v>830</x:v>
      </x:c>
      <x:c r="V31" s="19" t="n">
        <x:v>830</x:v>
      </x:c>
      <x:c r="W31" s="19" t="str">
        <x:v>PSI</x:v>
      </x:c>
      <x:c r="X31" s="20" t="n">
        <x:v>830</x:v>
      </x:c>
      <x:c r="Y31" s="20" t="n">
        <x:v>830</x:v>
      </x:c>
      <x:c r="Z31" s="44" t="n">
        <x:f>ROUND(X31/100,1)</x:f>
        <x:v>8.3</x:v>
      </x:c>
      <x:c r="AA31" s="44" t="n">
        <x:f>ROUND(Y31/100,1)</x:f>
        <x:v>8.3</x:v>
      </x:c>
      <x:c r="AB31" s="44" t="n">
        <x:f>ROUND(X31*0.1450377377,1)</x:f>
        <x:v>120.4</x:v>
      </x:c>
      <x:c r="AC31" s="44" t="n">
        <x:f>ROUND(Y31*0.1450377377,1)</x:f>
        <x:v>120.4</x:v>
      </x:c>
      <x:c r="AD31" s="19" t="str">
        <x:v>verified</x:v>
      </x:c>
      <x:c r="AE31" s="19" t="n">
        <x:v>3750</x:v>
      </x:c>
      <x:c r="AF31" s="19" t="n">
        <x:v>3450</x:v>
      </x:c>
      <x:c r="AG31" s="19" t="str">
        <x:v>LBS</x:v>
      </x:c>
      <x:c r="AH31" s="20" t="n">
        <x:v>3750</x:v>
      </x:c>
      <x:c r="AI31" s="20" t="n">
        <x:v>3450</x:v>
      </x:c>
      <x:c r="AJ31" s="20" t="n">
        <x:f>ROUND(AH31*2.2046226218,0)</x:f>
        <x:v>8267</x:v>
      </x:c>
      <x:c r="AK31" s="20" t="n">
        <x:f>ROUND(AI31*2.2046226218,0)</x:f>
        <x:v>7606</x:v>
      </x:c>
      <x:c r="AL31" s="19" t="str">
        <x:v>verified</x:v>
      </x:c>
      <x:c r="AM31" s="20" t="n">
        <x:v>154</x:v>
      </x:c>
      <x:c r="AN31" s="20" t="n">
        <x:v>151</x:v>
      </x:c>
      <x:c r="AO31" s="19" t="str">
        <x:v>154 / 151</x:v>
      </x:c>
      <x:c r="AP31" s="20"/>
      <x:c r="AQ31" s="20" t="str">
        <x:v>M</x:v>
      </x:c>
      <x:c r="AR31" s="20"/>
      <x:c r="AS31" s="19" t="str">
        <x:v>154/151 M</x:v>
      </x:c>
      <x:c r="AT31" s="19" t="str">
        <x:v>verified</x:v>
      </x:c>
      <x:c r="AU31" s="44" t="n">
        <x:v>1076</x:v>
      </x:c>
      <x:c r="AV31" s="19" t="n">
        <x:v>42</x:v>
      </x:c>
      <x:c r="AW31" s="42" t="n">
        <x:f>ROUND(AU31/25.4,2)</x:f>
        <x:v>42.36</x:v>
      </x:c>
      <x:c r="AX31" s="44" t="n">
        <x:v>312</x:v>
      </x:c>
      <x:c r="AY31" s="19" t="n">
        <x:v>12</x:v>
      </x:c>
      <x:c r="AZ31" s="42" t="n">
        <x:f>ROUND(AX31/25.4,2)</x:f>
        <x:v>12.28</x:v>
      </x:c>
      <x:c r="BA31" s="31" t="b">
        <x:v>1</x:v>
      </x:c>
      <x:c r="BB31" s="31" t="b">
        <x:v>1</x:v>
      </x:c>
      <x:c r="BC31" s="31" t="b">
        <x:v>1</x:v>
      </x:c>
      <x:c r="BD31" s="20" t="str">
        <x:v>["winter","snow-mud"]</x:v>
      </x:c>
      <x:c r="BE31" s="20" t="str">
        <x:v>["wet-grip","safety","retreadability"]</x:v>
      </x:c>
      <x:c r="BF31" s="43" t="b">
        <x:v>1</x:v>
      </x:c>
      <x:c r="BG31" s="19" t="str">
        <x:v>DOUBLESTAR COMBODIA TBR CATALOGUE.pdf</x:v>
      </x:c>
      <x:c r="BH31" s="19" t="n">
        <x:v>6</x:v>
      </x:c>
      <x:c r="BI31" s="19" t="n">
        <x:v>2</x:v>
      </x:c>
      <x:c r="BJ31" s="19" t="str">
        <x:v>DWD100</x:v>
      </x:c>
      <x:c r="BK31" s="19" t="str">
        <x:v>{"Size":"315/80R22.5","PR":18,"Tread Depth mm":18.5,"Tread Depth 1/32in":23,"Standard Rim":9,"Pressure(PSI) Single":830,"Pressure(PSI) Dual":830,"Max. Load(LBS) Single":3750,"Max. Load(LBS) Dual":3450,"Load Index Single":"154","Load Index Dual":"151","Speed Grade":"M","Overall Diameter mm":1076,"Section Width mm":312,"Overall Diameter inch":42,"Section Width inch":12}</x:v>
      </x:c>
      <x:c r="BL31" s="19" t="str">
        <x:v>verified</x:v>
      </x:c>
      <x:c r="BM31" s="20" t="str">
        <x:v>[]</x:v>
      </x:c>
      <x:c r="BN31" s="20" t="str">
        <x:v>unique</x:v>
      </x:c>
      <x:c r="BO31" s="31" t="b">
        <x:v>0</x:v>
      </x:c>
      <x:c r="BP31" s="30" t="n">
        <x:v>46229</x:v>
      </x:c>
      <x:c r="BQ31" s="30" t="n">
        <x:v>46229.270833333336</x:v>
      </x:c>
    </x:row>
    <x:row r="32">
      <x:c r="A32" s="18" t="str">
        <x:v>BIZON-VAR-DLD809-29580R225-18PR</x:v>
      </x:c>
      <x:c r="B32" s="18" t="str">
        <x:v>BIZON-MODEL-DLD809</x:v>
      </x:c>
      <x:c r="C32" s="18" t="str">
        <x:v>BIZON</x:v>
      </x:c>
      <x:c r="D32" s="18" t="str">
        <x:v>DLD809</x:v>
      </x:c>
      <x:c r="E32" s="18" t="str">
        <x:v>BIZON-DLD809-29580R225-18PR</x:v>
      </x:c>
      <x:c r="F32" s="18" t="str"/>
      <x:c r="G32" s="18" t="str">
        <x:v>active</x:v>
      </x:c>
      <x:c r="H32" s="18" t="str">
        <x:v>draft</x:v>
      </x:c>
      <x:c r="I32" s="19" t="str">
        <x:v>295/80R22.5</x:v>
      </x:c>
      <x:c r="J32" s="18" t="str">
        <x:v>295/80R22.5</x:v>
      </x:c>
      <x:c r="K32" s="18" t="str">
        <x:v>metric</x:v>
      </x:c>
      <x:c r="L32" s="39" t="n">
        <x:v>295</x:v>
      </x:c>
      <x:c r="M32" s="39"/>
      <x:c r="N32" s="40" t="n">
        <x:v>80</x:v>
      </x:c>
      <x:c r="O32" s="18" t="str">
        <x:v>R</x:v>
      </x:c>
      <x:c r="P32" s="39" t="n">
        <x:v>22.5</x:v>
      </x:c>
      <x:c r="Q32" s="18" t="n">
        <x:v>18</x:v>
      </x:c>
      <x:c r="R32" s="39" t="n">
        <x:v>18.5</x:v>
      </x:c>
      <x:c r="S32" s="41" t="n">
        <x:v>23</x:v>
      </x:c>
      <x:c r="T32" s="39" t="n">
        <x:v>9</x:v>
      </x:c>
      <x:c r="U32" s="19" t="n">
        <x:v>900</x:v>
      </x:c>
      <x:c r="V32" s="19" t="n">
        <x:v>900</x:v>
      </x:c>
      <x:c r="W32" s="19" t="str">
        <x:v>PSI</x:v>
      </x:c>
      <x:c r="X32" s="18" t="n">
        <x:v>900</x:v>
      </x:c>
      <x:c r="Y32" s="18" t="n">
        <x:v>900</x:v>
      </x:c>
      <x:c r="Z32" s="39" t="n">
        <x:f>ROUND(X32/100,1)</x:f>
        <x:v>9</x:v>
      </x:c>
      <x:c r="AA32" s="39" t="n">
        <x:f>ROUND(Y32/100,1)</x:f>
        <x:v>9</x:v>
      </x:c>
      <x:c r="AB32" s="39" t="n">
        <x:f>ROUND(X32*0.1450377377,1)</x:f>
        <x:v>130.5</x:v>
      </x:c>
      <x:c r="AC32" s="39" t="n">
        <x:f>ROUND(Y32*0.1450377377,1)</x:f>
        <x:v>130.5</x:v>
      </x:c>
      <x:c r="AD32" s="19" t="str">
        <x:v>verified</x:v>
      </x:c>
      <x:c r="AE32" s="19" t="n">
        <x:v>3550</x:v>
      </x:c>
      <x:c r="AF32" s="19" t="n">
        <x:v>3250</x:v>
      </x:c>
      <x:c r="AG32" s="19" t="str">
        <x:v>LBS</x:v>
      </x:c>
      <x:c r="AH32" s="18" t="n">
        <x:v>3550</x:v>
      </x:c>
      <x:c r="AI32" s="18" t="n">
        <x:v>3250</x:v>
      </x:c>
      <x:c r="AJ32" s="18" t="n">
        <x:f>ROUND(AH32*2.2046226218,0)</x:f>
        <x:v>7826</x:v>
      </x:c>
      <x:c r="AK32" s="18" t="n">
        <x:f>ROUND(AI32*2.2046226218,0)</x:f>
        <x:v>7165</x:v>
      </x:c>
      <x:c r="AL32" s="19" t="str">
        <x:v>verified</x:v>
      </x:c>
      <x:c r="AM32" s="18" t="n">
        <x:v>152</x:v>
      </x:c>
      <x:c r="AN32" s="18" t="n">
        <x:v>149</x:v>
      </x:c>
      <x:c r="AO32" s="19" t="str">
        <x:v>152 / 149</x:v>
      </x:c>
      <x:c r="AP32" s="18"/>
      <x:c r="AQ32" s="18" t="str">
        <x:v>M</x:v>
      </x:c>
      <x:c r="AR32" s="18"/>
      <x:c r="AS32" s="19" t="str">
        <x:v>152/149 M</x:v>
      </x:c>
      <x:c r="AT32" s="19" t="str">
        <x:v>verified</x:v>
      </x:c>
      <x:c r="AU32" s="39" t="n">
        <x:v>1044</x:v>
      </x:c>
      <x:c r="AV32" s="19" t="n">
        <x:v>41</x:v>
      </x:c>
      <x:c r="AW32" s="42" t="n">
        <x:f>ROUND(AU32/25.4,2)</x:f>
        <x:v>41.1</x:v>
      </x:c>
      <x:c r="AX32" s="39" t="n">
        <x:v>298</x:v>
      </x:c>
      <x:c r="AY32" s="19" t="n">
        <x:v>12</x:v>
      </x:c>
      <x:c r="AZ32" s="42" t="n">
        <x:f>ROUND(AX32/25.4,2)</x:f>
        <x:v>11.73</x:v>
      </x:c>
      <x:c r="BA32" s="28" t="b">
        <x:v>0</x:v>
      </x:c>
      <x:c r="BB32" s="28" t="b">
        <x:v>1</x:v>
      </x:c>
      <x:c r="BC32" s="28" t="b">
        <x:v>0</x:v>
      </x:c>
      <x:c r="BD32" s="18" t="str">
        <x:v>["long-haul","winter"]</x:v>
      </x:c>
      <x:c r="BE32" s="18" t="str">
        <x:v>["high-mileage","wet-grip","heavy-load"]</x:v>
      </x:c>
      <x:c r="BF32" s="43" t="b">
        <x:v>1</x:v>
      </x:c>
      <x:c r="BG32" s="19" t="str">
        <x:v>DOUBLESTAR COMBODIA TBR CATALOGUE.pdf</x:v>
      </x:c>
      <x:c r="BH32" s="19" t="n">
        <x:v>6</x:v>
      </x:c>
      <x:c r="BI32" s="19" t="n">
        <x:v>1</x:v>
      </x:c>
      <x:c r="BJ32" s="19" t="str">
        <x:v>DLD809</x:v>
      </x:c>
      <x:c r="BK32" s="19" t="str">
        <x:v>{"Size":"295/80R22.5","PR":18,"Tread Depth mm":18.5,"Tread Depth 1/32in":23,"Standard Rim":9,"Pressure(PSI) Single":900,"Pressure(PSI) Dual":900,"Max. Load(LBS) Single":3550,"Max. Load(LBS) Dual":3250,"Load Index Single":"152","Load Index Dual":"149","Speed Grade":"M","Overall Diameter mm":1044,"Section Width mm":298,"Overall Diameter inch":41,"Section Width inch":12}</x:v>
      </x:c>
      <x:c r="BL32" s="19" t="str">
        <x:v>verified</x:v>
      </x:c>
      <x:c r="BM32" s="18" t="str">
        <x:v>[]</x:v>
      </x:c>
      <x:c r="BN32" s="18" t="str">
        <x:v>unique</x:v>
      </x:c>
      <x:c r="BO32" s="28" t="b">
        <x:v>0</x:v>
      </x:c>
      <x:c r="BP32" s="30" t="n">
        <x:v>46229</x:v>
      </x:c>
      <x:c r="BQ32" s="30" t="n">
        <x:v>46229.270833333336</x:v>
      </x:c>
    </x:row>
    <x:row r="33">
      <x:c r="A33" s="20" t="str">
        <x:v>BIZON-VAR-D930-27570R225-18PR</x:v>
      </x:c>
      <x:c r="B33" s="20" t="str">
        <x:v>BIZON-MODEL-D930</x:v>
      </x:c>
      <x:c r="C33" s="20" t="str">
        <x:v>BIZON</x:v>
      </x:c>
      <x:c r="D33" s="20" t="str">
        <x:v>D930</x:v>
      </x:c>
      <x:c r="E33" s="20" t="str">
        <x:v>BIZON-D930-27570R225-18PR</x:v>
      </x:c>
      <x:c r="F33" s="20" t="str"/>
      <x:c r="G33" s="20" t="str">
        <x:v>active</x:v>
      </x:c>
      <x:c r="H33" s="20" t="str">
        <x:v>draft</x:v>
      </x:c>
      <x:c r="I33" s="19" t="str">
        <x:v>275/70R22.5</x:v>
      </x:c>
      <x:c r="J33" s="20" t="str">
        <x:v>275/70R22.5</x:v>
      </x:c>
      <x:c r="K33" s="20" t="str">
        <x:v>metric</x:v>
      </x:c>
      <x:c r="L33" s="44" t="n">
        <x:v>275</x:v>
      </x:c>
      <x:c r="M33" s="44"/>
      <x:c r="N33" s="45" t="n">
        <x:v>70</x:v>
      </x:c>
      <x:c r="O33" s="20" t="str">
        <x:v>R</x:v>
      </x:c>
      <x:c r="P33" s="44" t="n">
        <x:v>22.5</x:v>
      </x:c>
      <x:c r="Q33" s="20" t="n">
        <x:v>18</x:v>
      </x:c>
      <x:c r="R33" s="44" t="n">
        <x:v>22</x:v>
      </x:c>
      <x:c r="S33" s="41" t="n">
        <x:v>28</x:v>
      </x:c>
      <x:c r="T33" s="44" t="n">
        <x:v>8.25</x:v>
      </x:c>
      <x:c r="U33" s="19" t="n">
        <x:v>900</x:v>
      </x:c>
      <x:c r="V33" s="19" t="n">
        <x:v>900</x:v>
      </x:c>
      <x:c r="W33" s="19" t="str">
        <x:v>PSI</x:v>
      </x:c>
      <x:c r="X33" s="20" t="n">
        <x:v>900</x:v>
      </x:c>
      <x:c r="Y33" s="20" t="n">
        <x:v>900</x:v>
      </x:c>
      <x:c r="Z33" s="44" t="n">
        <x:f>ROUND(X33/100,1)</x:f>
        <x:v>9</x:v>
      </x:c>
      <x:c r="AA33" s="44" t="n">
        <x:f>ROUND(Y33/100,1)</x:f>
        <x:v>9</x:v>
      </x:c>
      <x:c r="AB33" s="44" t="n">
        <x:f>ROUND(X33*0.1450377377,1)</x:f>
        <x:v>130.5</x:v>
      </x:c>
      <x:c r="AC33" s="44" t="n">
        <x:f>ROUND(Y33*0.1450377377,1)</x:f>
        <x:v>130.5</x:v>
      </x:c>
      <x:c r="AD33" s="19" t="str">
        <x:v>verified</x:v>
      </x:c>
      <x:c r="AE33" s="19" t="n">
        <x:v>3550</x:v>
      </x:c>
      <x:c r="AF33" s="19" t="n">
        <x:v>3150</x:v>
      </x:c>
      <x:c r="AG33" s="19" t="str">
        <x:v>LBS</x:v>
      </x:c>
      <x:c r="AH33" s="20" t="n">
        <x:v>3550</x:v>
      </x:c>
      <x:c r="AI33" s="20" t="n">
        <x:v>3150</x:v>
      </x:c>
      <x:c r="AJ33" s="20" t="n">
        <x:f>ROUND(AH33*2.2046226218,0)</x:f>
        <x:v>7826</x:v>
      </x:c>
      <x:c r="AK33" s="20" t="n">
        <x:f>ROUND(AI33*2.2046226218,0)</x:f>
        <x:v>6945</x:v>
      </x:c>
      <x:c r="AL33" s="19" t="str">
        <x:v>verified</x:v>
      </x:c>
      <x:c r="AM33" s="20" t="n">
        <x:v>152</x:v>
      </x:c>
      <x:c r="AN33" s="20" t="n">
        <x:v>148</x:v>
      </x:c>
      <x:c r="AO33" s="19" t="str">
        <x:v>152 / 148</x:v>
      </x:c>
      <x:c r="AP33" s="20"/>
      <x:c r="AQ33" s="20" t="str">
        <x:v>J</x:v>
      </x:c>
      <x:c r="AR33" s="20"/>
      <x:c r="AS33" s="19" t="str">
        <x:v>152/148 J</x:v>
      </x:c>
      <x:c r="AT33" s="19" t="str">
        <x:v>verified</x:v>
      </x:c>
      <x:c r="AU33" s="44" t="n">
        <x:v>958</x:v>
      </x:c>
      <x:c r="AV33" s="19" t="n">
        <x:v>38</x:v>
      </x:c>
      <x:c r="AW33" s="42" t="n">
        <x:f>ROUND(AU33/25.4,2)</x:f>
        <x:v>37.72</x:v>
      </x:c>
      <x:c r="AX33" s="44" t="n">
        <x:v>276</x:v>
      </x:c>
      <x:c r="AY33" s="19" t="n">
        <x:v>11</x:v>
      </x:c>
      <x:c r="AZ33" s="42" t="n">
        <x:f>ROUND(AX33/25.4,2)</x:f>
        <x:v>10.87</x:v>
      </x:c>
      <x:c r="BA33" s="31" t="b">
        <x:v>1</x:v>
      </x:c>
      <x:c r="BB33" s="31" t="b">
        <x:v>1</x:v>
      </x:c>
      <x:c r="BC33" s="31" t="b">
        <x:v>1</x:v>
      </x:c>
      <x:c r="BD33" s="20" t="str">
        <x:v>["urban"]</x:v>
      </x:c>
      <x:c r="BE33" s="20" t="str">
        <x:v>["high-mileage","safety","handling","short-braking-distance"]</x:v>
      </x:c>
      <x:c r="BF33" s="43" t="b">
        <x:v>1</x:v>
      </x:c>
      <x:c r="BG33" s="19" t="str">
        <x:v>DOUBLESTAR COMBODIA TBR CATALOGUE.pdf</x:v>
      </x:c>
      <x:c r="BH33" s="19" t="n">
        <x:v>6</x:v>
      </x:c>
      <x:c r="BI33" s="19" t="n">
        <x:v>1</x:v>
      </x:c>
      <x:c r="BJ33" s="19" t="str">
        <x:v>D930</x:v>
      </x:c>
      <x:c r="BK33" s="19" t="str">
        <x:v>{"Size":"275/70R22.5","PR":18,"Tread Depth mm":22,"Tread Depth 1/32in":28,"Standard Rim":8.25,"Pressure(PSI) Single":900,"Pressure(PSI) Dual":900,"Max. Load(LBS) Single":3550,"Max. Load(LBS) Dual":3150,"Load Index Single":"152","Load Index Dual":"148","Speed Grade":"J","Overall Diameter mm":958,"Section Width mm":276,"Overall Diameter inch":38,"Section Width inch":11}</x:v>
      </x:c>
      <x:c r="BL33" s="19" t="str">
        <x:v>verified</x:v>
      </x:c>
      <x:c r="BM33" s="20" t="str">
        <x:v>[]</x:v>
      </x:c>
      <x:c r="BN33" s="20" t="str">
        <x:v>unique</x:v>
      </x:c>
      <x:c r="BO33" s="31" t="b">
        <x:v>0</x:v>
      </x:c>
      <x:c r="BP33" s="30" t="n">
        <x:v>46229</x:v>
      </x:c>
      <x:c r="BQ33" s="30" t="n">
        <x:v>46229.270833333336</x:v>
      </x:c>
    </x:row>
    <x:row r="34">
      <x:c r="A34" s="18" t="str">
        <x:v>BIZON-VAR-DMA808-31580R225-22PR</x:v>
      </x:c>
      <x:c r="B34" s="18" t="str">
        <x:v>BIZON-MODEL-DMA808</x:v>
      </x:c>
      <x:c r="C34" s="18" t="str">
        <x:v>BIZON</x:v>
      </x:c>
      <x:c r="D34" s="18" t="str">
        <x:v>DMA808</x:v>
      </x:c>
      <x:c r="E34" s="18" t="str">
        <x:v>BIZON-DMA808-31580R225-22PR</x:v>
      </x:c>
      <x:c r="F34" s="18" t="str"/>
      <x:c r="G34" s="18" t="str">
        <x:v>active</x:v>
      </x:c>
      <x:c r="H34" s="18" t="str">
        <x:v>draft</x:v>
      </x:c>
      <x:c r="I34" s="19" t="str">
        <x:v>315/80R22.5</x:v>
      </x:c>
      <x:c r="J34" s="18" t="str">
        <x:v>315/80R22.5</x:v>
      </x:c>
      <x:c r="K34" s="18" t="str">
        <x:v>metric</x:v>
      </x:c>
      <x:c r="L34" s="39" t="n">
        <x:v>315</x:v>
      </x:c>
      <x:c r="M34" s="39"/>
      <x:c r="N34" s="40" t="n">
        <x:v>80</x:v>
      </x:c>
      <x:c r="O34" s="18" t="str">
        <x:v>R</x:v>
      </x:c>
      <x:c r="P34" s="39" t="n">
        <x:v>22.5</x:v>
      </x:c>
      <x:c r="Q34" s="18" t="n">
        <x:v>22</x:v>
      </x:c>
      <x:c r="R34" s="39" t="n">
        <x:v>16.5</x:v>
      </x:c>
      <x:c r="S34" s="41" t="n">
        <x:v>20</x:v>
      </x:c>
      <x:c r="T34" s="39" t="n">
        <x:v>9</x:v>
      </x:c>
      <x:c r="U34" s="19" t="n">
        <x:v>900</x:v>
      </x:c>
      <x:c r="V34" s="19" t="n">
        <x:v>900</x:v>
      </x:c>
      <x:c r="W34" s="19" t="str">
        <x:v>PSI</x:v>
      </x:c>
      <x:c r="X34" s="18" t="n">
        <x:v>900</x:v>
      </x:c>
      <x:c r="Y34" s="18" t="n">
        <x:v>900</x:v>
      </x:c>
      <x:c r="Z34" s="39" t="n">
        <x:f>ROUND(X34/100,1)</x:f>
        <x:v>9</x:v>
      </x:c>
      <x:c r="AA34" s="39" t="n">
        <x:f>ROUND(Y34/100,1)</x:f>
        <x:v>9</x:v>
      </x:c>
      <x:c r="AB34" s="39" t="n">
        <x:f>ROUND(X34*0.1450377377,1)</x:f>
        <x:v>130.5</x:v>
      </x:c>
      <x:c r="AC34" s="39" t="n">
        <x:f>ROUND(Y34*0.1450377377,1)</x:f>
        <x:v>130.5</x:v>
      </x:c>
      <x:c r="AD34" s="19" t="str">
        <x:v>verified</x:v>
      </x:c>
      <x:c r="AE34" s="19" t="n">
        <x:v>4250</x:v>
      </x:c>
      <x:c r="AF34" s="19" t="n">
        <x:v>4000</x:v>
      </x:c>
      <x:c r="AG34" s="19" t="str">
        <x:v>LBS</x:v>
      </x:c>
      <x:c r="AH34" s="18" t="n">
        <x:v>4250</x:v>
      </x:c>
      <x:c r="AI34" s="18" t="n">
        <x:v>4000</x:v>
      </x:c>
      <x:c r="AJ34" s="18" t="n">
        <x:f>ROUND(AH34*2.2046226218,0)</x:f>
        <x:v>9370</x:v>
      </x:c>
      <x:c r="AK34" s="18" t="n">
        <x:f>ROUND(AI34*2.2046226218,0)</x:f>
        <x:v>8818</x:v>
      </x:c>
      <x:c r="AL34" s="19" t="str">
        <x:v>verified</x:v>
      </x:c>
      <x:c r="AM34" s="18" t="n">
        <x:v>158</x:v>
      </x:c>
      <x:c r="AN34" s="18" t="n">
        <x:v>156</x:v>
      </x:c>
      <x:c r="AO34" s="19" t="str">
        <x:v>158 / 156</x:v>
      </x:c>
      <x:c r="AP34" s="18"/>
      <x:c r="AQ34" s="18" t="str">
        <x:v>L</x:v>
      </x:c>
      <x:c r="AR34" s="18"/>
      <x:c r="AS34" s="19" t="str">
        <x:v>158/156 L</x:v>
      </x:c>
      <x:c r="AT34" s="19" t="str">
        <x:v>verified</x:v>
      </x:c>
      <x:c r="AU34" s="39" t="n">
        <x:v>1076</x:v>
      </x:c>
      <x:c r="AV34" s="19" t="n">
        <x:v>42</x:v>
      </x:c>
      <x:c r="AW34" s="42" t="n">
        <x:f>ROUND(AU34/25.4,2)</x:f>
        <x:v>42.36</x:v>
      </x:c>
      <x:c r="AX34" s="39" t="n">
        <x:v>312</x:v>
      </x:c>
      <x:c r="AY34" s="19" t="n">
        <x:v>12</x:v>
      </x:c>
      <x:c r="AZ34" s="42" t="n">
        <x:f>ROUND(AX34/25.4,2)</x:f>
        <x:v>12.28</x:v>
      </x:c>
      <x:c r="BA34" s="28" t="b">
        <x:v>1</x:v>
      </x:c>
      <x:c r="BB34" s="28" t="b">
        <x:v>1</x:v>
      </x:c>
      <x:c r="BC34" s="28" t="b">
        <x:v>1</x:v>
      </x:c>
      <x:c r="BD34" s="18" t="str">
        <x:v>["regional"]</x:v>
      </x:c>
      <x:c r="BE34" s="18" t="str">
        <x:v>["anti-tear","heavy-load","cut-resistance"]</x:v>
      </x:c>
      <x:c r="BF34" s="43" t="b">
        <x:v>1</x:v>
      </x:c>
      <x:c r="BG34" s="19" t="str">
        <x:v>DOUBLESTAR COMBODIA TBR CATALOGUE.pdf</x:v>
      </x:c>
      <x:c r="BH34" s="19" t="n">
        <x:v>7</x:v>
      </x:c>
      <x:c r="BI34" s="19" t="n">
        <x:v>1</x:v>
      </x:c>
      <x:c r="BJ34" s="19" t="str">
        <x:v>DMA808</x:v>
      </x:c>
      <x:c r="BK34" s="19" t="str">
        <x:v>{"Size":"315/80R22.5","PR":22,"Tread Depth mm":16.5,"Tread Depth 1/32in":20,"Standard Rim":9,"Pressure(PSI) Single":900,"Pressure(PSI) Dual":900,"Max. Load(LBS) Single":4250,"Max. Load(LBS) Dual":4000,"Load Index Single":"158","Load Index Dual":"156","Speed Grade":"L","Overall Diameter mm":1076,"Section Width mm":312,"Overall Diameter inch":42,"Section Width inch":12}</x:v>
      </x:c>
      <x:c r="BL34" s="19" t="str">
        <x:v>verified</x:v>
      </x:c>
      <x:c r="BM34" s="18" t="str">
        <x:v>[]</x:v>
      </x:c>
      <x:c r="BN34" s="18" t="str">
        <x:v>unique</x:v>
      </x:c>
      <x:c r="BO34" s="28" t="b">
        <x:v>0</x:v>
      </x:c>
      <x:c r="BP34" s="30" t="n">
        <x:v>46229</x:v>
      </x:c>
      <x:c r="BQ34" s="30" t="n">
        <x:v>46229.270833333336</x:v>
      </x:c>
    </x:row>
    <x:row r="35">
      <x:c r="A35" s="20" t="str">
        <x:v>BIZON-VAR-DSRD22-31580R225-22PR</x:v>
      </x:c>
      <x:c r="B35" s="20" t="str">
        <x:v>BIZON-MODEL-DSRD22</x:v>
      </x:c>
      <x:c r="C35" s="20" t="str">
        <x:v>BIZON</x:v>
      </x:c>
      <x:c r="D35" s="20" t="str">
        <x:v>DSRD22</x:v>
      </x:c>
      <x:c r="E35" s="20" t="str">
        <x:v>BIZON-DSRD22-31580R225-22PR</x:v>
      </x:c>
      <x:c r="F35" s="20" t="str"/>
      <x:c r="G35" s="20" t="str">
        <x:v>active</x:v>
      </x:c>
      <x:c r="H35" s="20" t="str">
        <x:v>draft</x:v>
      </x:c>
      <x:c r="I35" s="19" t="str">
        <x:v>315/80R22.5</x:v>
      </x:c>
      <x:c r="J35" s="20" t="str">
        <x:v>315/80R22.5</x:v>
      </x:c>
      <x:c r="K35" s="20" t="str">
        <x:v>metric</x:v>
      </x:c>
      <x:c r="L35" s="44" t="n">
        <x:v>315</x:v>
      </x:c>
      <x:c r="M35" s="44"/>
      <x:c r="N35" s="45" t="n">
        <x:v>80</x:v>
      </x:c>
      <x:c r="O35" s="20" t="str">
        <x:v>R</x:v>
      </x:c>
      <x:c r="P35" s="44" t="n">
        <x:v>22.5</x:v>
      </x:c>
      <x:c r="Q35" s="20" t="n">
        <x:v>22</x:v>
      </x:c>
      <x:c r="R35" s="44" t="n">
        <x:v>22</x:v>
      </x:c>
      <x:c r="S35" s="41" t="n">
        <x:v>28</x:v>
      </x:c>
      <x:c r="T35" s="44" t="n">
        <x:v>9</x:v>
      </x:c>
      <x:c r="U35" s="19" t="n">
        <x:v>900</x:v>
      </x:c>
      <x:c r="V35" s="19" t="n">
        <x:v>900</x:v>
      </x:c>
      <x:c r="W35" s="19" t="str">
        <x:v>PSI</x:v>
      </x:c>
      <x:c r="X35" s="20" t="n">
        <x:v>900</x:v>
      </x:c>
      <x:c r="Y35" s="20" t="n">
        <x:v>900</x:v>
      </x:c>
      <x:c r="Z35" s="44" t="n">
        <x:f>ROUND(X35/100,1)</x:f>
        <x:v>9</x:v>
      </x:c>
      <x:c r="AA35" s="44" t="n">
        <x:f>ROUND(Y35/100,1)</x:f>
        <x:v>9</x:v>
      </x:c>
      <x:c r="AB35" s="44" t="n">
        <x:f>ROUND(X35*0.1450377377,1)</x:f>
        <x:v>130.5</x:v>
      </x:c>
      <x:c r="AC35" s="44" t="n">
        <x:f>ROUND(Y35*0.1450377377,1)</x:f>
        <x:v>130.5</x:v>
      </x:c>
      <x:c r="AD35" s="19" t="str">
        <x:v>verified</x:v>
      </x:c>
      <x:c r="AE35" s="19" t="n">
        <x:v>4250</x:v>
      </x:c>
      <x:c r="AF35" s="19" t="n">
        <x:v>4000</x:v>
      </x:c>
      <x:c r="AG35" s="19" t="str">
        <x:v>LBS</x:v>
      </x:c>
      <x:c r="AH35" s="20" t="n">
        <x:v>4250</x:v>
      </x:c>
      <x:c r="AI35" s="20" t="n">
        <x:v>4000</x:v>
      </x:c>
      <x:c r="AJ35" s="20" t="n">
        <x:f>ROUND(AH35*2.2046226218,0)</x:f>
        <x:v>9370</x:v>
      </x:c>
      <x:c r="AK35" s="20" t="n">
        <x:f>ROUND(AI35*2.2046226218,0)</x:f>
        <x:v>8818</x:v>
      </x:c>
      <x:c r="AL35" s="19" t="str">
        <x:v>verified</x:v>
      </x:c>
      <x:c r="AM35" s="20" t="n">
        <x:v>158</x:v>
      </x:c>
      <x:c r="AN35" s="20" t="n">
        <x:v>156</x:v>
      </x:c>
      <x:c r="AO35" s="19" t="str">
        <x:v>158 / 156</x:v>
      </x:c>
      <x:c r="AP35" s="20"/>
      <x:c r="AQ35" s="20" t="str">
        <x:v>K</x:v>
      </x:c>
      <x:c r="AR35" s="20"/>
      <x:c r="AS35" s="19" t="str">
        <x:v>158/156 K</x:v>
      </x:c>
      <x:c r="AT35" s="19" t="str">
        <x:v>verified</x:v>
      </x:c>
      <x:c r="AU35" s="44" t="n">
        <x:v>1076</x:v>
      </x:c>
      <x:c r="AV35" s="19" t="n">
        <x:v>42</x:v>
      </x:c>
      <x:c r="AW35" s="42" t="n">
        <x:f>ROUND(AU35/25.4,2)</x:f>
        <x:v>42.36</x:v>
      </x:c>
      <x:c r="AX35" s="44" t="n">
        <x:v>312</x:v>
      </x:c>
      <x:c r="AY35" s="19" t="n">
        <x:v>12</x:v>
      </x:c>
      <x:c r="AZ35" s="42" t="n">
        <x:f>ROUND(AX35/25.4,2)</x:f>
        <x:v>12.28</x:v>
      </x:c>
      <x:c r="BA35" s="31" t="b">
        <x:v>0</x:v>
      </x:c>
      <x:c r="BB35" s="31" t="b">
        <x:v>1</x:v>
      </x:c>
      <x:c r="BC35" s="31" t="b">
        <x:v>0</x:v>
      </x:c>
      <x:c r="BD35" s="20" t="str">
        <x:v>["regional"]</x:v>
      </x:c>
      <x:c r="BE35" s="20" t="str">
        <x:v>["economy","short-braking-distance","self-cleaning","low-rolling-resistance","stone-ejection"]</x:v>
      </x:c>
      <x:c r="BF35" s="43" t="b">
        <x:v>1</x:v>
      </x:c>
      <x:c r="BG35" s="19" t="str">
        <x:v>DOUBLESTAR COMBODIA TBR CATALOGUE.pdf</x:v>
      </x:c>
      <x:c r="BH35" s="19" t="n">
        <x:v>7</x:v>
      </x:c>
      <x:c r="BI35" s="19" t="n">
        <x:v>1</x:v>
      </x:c>
      <x:c r="BJ35" s="19" t="str">
        <x:v>DSRD22</x:v>
      </x:c>
      <x:c r="BK35" s="19" t="str">
        <x:v>{"Size":"315/80R22.5","PR":22,"Tread Depth mm":22,"Tread Depth 1/32in":28,"Standard Rim":9,"Pressure(PSI) Single":900,"Pressure(PSI) Dual":900,"Max. Load(LBS) Single":4250,"Max. Load(LBS) Dual":4000,"Load Index Single":"158","Load Index Dual":"156","Speed Grade":"K","Overall Diameter mm":1076,"Section Width mm":312,"Overall Diameter inch":42,"Section Width inch":12}</x:v>
      </x:c>
      <x:c r="BL35" s="19" t="str">
        <x:v>verified</x:v>
      </x:c>
      <x:c r="BM35" s="20" t="str">
        <x:v>[]</x:v>
      </x:c>
      <x:c r="BN35" s="20" t="str">
        <x:v>unique</x:v>
      </x:c>
      <x:c r="BO35" s="31" t="b">
        <x:v>0</x:v>
      </x:c>
      <x:c r="BP35" s="30" t="n">
        <x:v>46229</x:v>
      </x:c>
      <x:c r="BQ35" s="30" t="n">
        <x:v>46229.270833333336</x:v>
      </x:c>
    </x:row>
    <x:row r="36">
      <x:c r="A36" s="18" t="str">
        <x:v>BIZON-VAR-D530-13R225-20PR</x:v>
      </x:c>
      <x:c r="B36" s="18" t="str">
        <x:v>BIZON-MODEL-D530</x:v>
      </x:c>
      <x:c r="C36" s="18" t="str">
        <x:v>BIZON</x:v>
      </x:c>
      <x:c r="D36" s="18" t="str">
        <x:v>D530</x:v>
      </x:c>
      <x:c r="E36" s="18" t="str">
        <x:v>BIZON-D530-13R225-20PR</x:v>
      </x:c>
      <x:c r="F36" s="18" t="str"/>
      <x:c r="G36" s="18" t="str">
        <x:v>active</x:v>
      </x:c>
      <x:c r="H36" s="18" t="str">
        <x:v>draft</x:v>
      </x:c>
      <x:c r="I36" s="19" t="str">
        <x:v>13R22.5</x:v>
      </x:c>
      <x:c r="J36" s="18" t="str">
        <x:v>13R22.5</x:v>
      </x:c>
      <x:c r="K36" s="18" t="str">
        <x:v>imperial</x:v>
      </x:c>
      <x:c r="L36" s="39"/>
      <x:c r="M36" s="39" t="n">
        <x:v>13</x:v>
      </x:c>
      <x:c r="N36" s="40"/>
      <x:c r="O36" s="18" t="str">
        <x:v>R</x:v>
      </x:c>
      <x:c r="P36" s="39" t="n">
        <x:v>22.5</x:v>
      </x:c>
      <x:c r="Q36" s="18" t="n">
        <x:v>20</x:v>
      </x:c>
      <x:c r="R36" s="39" t="n">
        <x:v>21</x:v>
      </x:c>
      <x:c r="S36" s="41" t="n">
        <x:v>26</x:v>
      </x:c>
      <x:c r="T36" s="39" t="n">
        <x:v>9.75</x:v>
      </x:c>
      <x:c r="U36" s="19" t="n">
        <x:v>930</x:v>
      </x:c>
      <x:c r="V36" s="19" t="n">
        <x:v>930</x:v>
      </x:c>
      <x:c r="W36" s="19" t="str">
        <x:v>PSI</x:v>
      </x:c>
      <x:c r="X36" s="18" t="n">
        <x:v>930</x:v>
      </x:c>
      <x:c r="Y36" s="18" t="n">
        <x:v>930</x:v>
      </x:c>
      <x:c r="Z36" s="39" t="n">
        <x:f>ROUND(X36/100,1)</x:f>
        <x:v>9.3</x:v>
      </x:c>
      <x:c r="AA36" s="39" t="n">
        <x:f>ROUND(Y36/100,1)</x:f>
        <x:v>9.3</x:v>
      </x:c>
      <x:c r="AB36" s="39" t="n">
        <x:f>ROUND(X36*0.1450377377,1)</x:f>
        <x:v>134.9</x:v>
      </x:c>
      <x:c r="AC36" s="39" t="n">
        <x:f>ROUND(Y36*0.1450377377,1)</x:f>
        <x:v>134.9</x:v>
      </x:c>
      <x:c r="AD36" s="19" t="str">
        <x:v>verified</x:v>
      </x:c>
      <x:c r="AE36" s="19" t="n">
        <x:v>4000</x:v>
      </x:c>
      <x:c r="AF36" s="19" t="n">
        <x:v>3350</x:v>
      </x:c>
      <x:c r="AG36" s="19" t="str">
        <x:v>LBS</x:v>
      </x:c>
      <x:c r="AH36" s="18" t="n">
        <x:v>4000</x:v>
      </x:c>
      <x:c r="AI36" s="18" t="n">
        <x:v>3350</x:v>
      </x:c>
      <x:c r="AJ36" s="18" t="n">
        <x:f>ROUND(AH36*2.2046226218,0)</x:f>
        <x:v>8818</x:v>
      </x:c>
      <x:c r="AK36" s="18" t="n">
        <x:f>ROUND(AI36*2.2046226218,0)</x:f>
        <x:v>7385</x:v>
      </x:c>
      <x:c r="AL36" s="19" t="str">
        <x:v>verified</x:v>
      </x:c>
      <x:c r="AM36" s="18" t="n">
        <x:v>156</x:v>
      </x:c>
      <x:c r="AN36" s="18" t="n">
        <x:v>150</x:v>
      </x:c>
      <x:c r="AO36" s="19" t="str">
        <x:v>156 / 150</x:v>
      </x:c>
      <x:c r="AP36" s="18"/>
      <x:c r="AQ36" s="18" t="str">
        <x:v>G</x:v>
      </x:c>
      <x:c r="AR36" s="18"/>
      <x:c r="AS36" s="19" t="str">
        <x:v>156/150 G</x:v>
      </x:c>
      <x:c r="AT36" s="19" t="str">
        <x:v>verified</x:v>
      </x:c>
      <x:c r="AU36" s="39" t="n">
        <x:v>1124</x:v>
      </x:c>
      <x:c r="AV36" s="19" t="n">
        <x:v>44</x:v>
      </x:c>
      <x:c r="AW36" s="42" t="n">
        <x:f>ROUND(AU36/25.4,2)</x:f>
        <x:v>44.25</x:v>
      </x:c>
      <x:c r="AX36" s="39" t="n">
        <x:v>320</x:v>
      </x:c>
      <x:c r="AY36" s="19" t="n">
        <x:v>13</x:v>
      </x:c>
      <x:c r="AZ36" s="42" t="n">
        <x:f>ROUND(AX36/25.4,2)</x:f>
        <x:v>12.6</x:v>
      </x:c>
      <x:c r="BA36" s="28" t="b">
        <x:v>1</x:v>
      </x:c>
      <x:c r="BB36" s="28" t="b">
        <x:v>1</x:v>
      </x:c>
      <x:c r="BC36" s="28" t="b">
        <x:v>1</x:v>
      </x:c>
      <x:c r="BD36" s="18" t="str">
        <x:v>["regional"]</x:v>
      </x:c>
      <x:c r="BE36" s="18" t="str">
        <x:v>["high-mileage","anti-wear","heavy-load","heat-dissipation","stone-ejection"]</x:v>
      </x:c>
      <x:c r="BF36" s="43" t="b">
        <x:v>1</x:v>
      </x:c>
      <x:c r="BG36" s="19" t="str">
        <x:v>DOUBLESTAR COMBODIA TBR CATALOGUE.pdf</x:v>
      </x:c>
      <x:c r="BH36" s="19" t="n">
        <x:v>7</x:v>
      </x:c>
      <x:c r="BI36" s="19" t="n">
        <x:v>1</x:v>
      </x:c>
      <x:c r="BJ36" s="19" t="str">
        <x:v>D530</x:v>
      </x:c>
      <x:c r="BK36" s="19" t="str">
        <x:v>{"Size":"13R22.5","PR":20,"Tread Depth mm":21,"Tread Depth 1/32in":26,"Standard Rim":9.75,"Pressure(PSI) Single":930,"Pressure(PSI) Dual":930,"Max. Load(LBS) Single":4000,"Max. Load(LBS) Dual":3350,"Load Index Single":"156","Load Index Dual":"150","Speed Grade":"G","Overall Diameter mm":1124,"Section Width mm":320,"Overall Diameter inch":44,"Section Width inch":13}</x:v>
      </x:c>
      <x:c r="BL36" s="19" t="str">
        <x:v>verified</x:v>
      </x:c>
      <x:c r="BM36" s="18" t="str">
        <x:v>[]</x:v>
      </x:c>
      <x:c r="BN36" s="18" t="str">
        <x:v>unique</x:v>
      </x:c>
      <x:c r="BO36" s="28" t="b">
        <x:v>0</x:v>
      </x:c>
      <x:c r="BP36" s="30" t="n">
        <x:v>46229</x:v>
      </x:c>
      <x:c r="BQ36" s="30" t="n">
        <x:v>46229.270833333336</x:v>
      </x:c>
    </x:row>
    <x:row r="37">
      <x:c r="A37" s="20" t="str">
        <x:v>BIZON-VAR-FIO628-13R225-20PR</x:v>
      </x:c>
      <x:c r="B37" s="20" t="str">
        <x:v>BIZON-MODEL-FIO628</x:v>
      </x:c>
      <x:c r="C37" s="20" t="str">
        <x:v>BIZON</x:v>
      </x:c>
      <x:c r="D37" s="20" t="str">
        <x:v>FIO628</x:v>
      </x:c>
      <x:c r="E37" s="20" t="str">
        <x:v>BIZON-FIO628-13R225-20PR</x:v>
      </x:c>
      <x:c r="F37" s="20" t="str"/>
      <x:c r="G37" s="20" t="str">
        <x:v>active</x:v>
      </x:c>
      <x:c r="H37" s="20" t="str">
        <x:v>draft</x:v>
      </x:c>
      <x:c r="I37" s="19" t="str">
        <x:v>13R22.5</x:v>
      </x:c>
      <x:c r="J37" s="20" t="str">
        <x:v>13R22.5</x:v>
      </x:c>
      <x:c r="K37" s="20" t="str">
        <x:v>imperial</x:v>
      </x:c>
      <x:c r="L37" s="44"/>
      <x:c r="M37" s="44" t="n">
        <x:v>13</x:v>
      </x:c>
      <x:c r="N37" s="45"/>
      <x:c r="O37" s="20" t="str">
        <x:v>R</x:v>
      </x:c>
      <x:c r="P37" s="44" t="n">
        <x:v>22.5</x:v>
      </x:c>
      <x:c r="Q37" s="20" t="n">
        <x:v>20</x:v>
      </x:c>
      <x:c r="R37" s="44" t="n">
        <x:v>21</x:v>
      </x:c>
      <x:c r="S37" s="41" t="n">
        <x:v>26</x:v>
      </x:c>
      <x:c r="T37" s="44" t="n">
        <x:v>9.75</x:v>
      </x:c>
      <x:c r="U37" s="19" t="n">
        <x:v>875</x:v>
      </x:c>
      <x:c r="V37" s="19" t="n">
        <x:v>875</x:v>
      </x:c>
      <x:c r="W37" s="19" t="str">
        <x:v>PSI</x:v>
      </x:c>
      <x:c r="X37" s="20" t="n">
        <x:v>875</x:v>
      </x:c>
      <x:c r="Y37" s="20" t="n">
        <x:v>875</x:v>
      </x:c>
      <x:c r="Z37" s="44" t="n">
        <x:f>ROUND(X37/100,1)</x:f>
        <x:v>8.8</x:v>
      </x:c>
      <x:c r="AA37" s="44" t="n">
        <x:f>ROUND(Y37/100,1)</x:f>
        <x:v>8.8</x:v>
      </x:c>
      <x:c r="AB37" s="44" t="n">
        <x:f>ROUND(X37*0.1450377377,1)</x:f>
        <x:v>126.9</x:v>
      </x:c>
      <x:c r="AC37" s="44" t="n">
        <x:f>ROUND(Y37*0.1450377377,1)</x:f>
        <x:v>126.9</x:v>
      </x:c>
      <x:c r="AD37" s="19" t="str">
        <x:v>verified</x:v>
      </x:c>
      <x:c r="AE37" s="19" t="n">
        <x:v>4000</x:v>
      </x:c>
      <x:c r="AF37" s="19" t="n">
        <x:v>3350</x:v>
      </x:c>
      <x:c r="AG37" s="19" t="str">
        <x:v>LBS</x:v>
      </x:c>
      <x:c r="AH37" s="20" t="n">
        <x:v>4000</x:v>
      </x:c>
      <x:c r="AI37" s="20" t="n">
        <x:v>3350</x:v>
      </x:c>
      <x:c r="AJ37" s="20" t="n">
        <x:f>ROUND(AH37*2.2046226218,0)</x:f>
        <x:v>8818</x:v>
      </x:c>
      <x:c r="AK37" s="20" t="n">
        <x:f>ROUND(AI37*2.2046226218,0)</x:f>
        <x:v>7385</x:v>
      </x:c>
      <x:c r="AL37" s="19" t="str">
        <x:v>verified</x:v>
      </x:c>
      <x:c r="AM37" s="20" t="n">
        <x:v>156</x:v>
      </x:c>
      <x:c r="AN37" s="20" t="n">
        <x:v>150</x:v>
      </x:c>
      <x:c r="AO37" s="19" t="str">
        <x:v>156 / 150</x:v>
      </x:c>
      <x:c r="AP37" s="20"/>
      <x:c r="AQ37" s="20" t="str">
        <x:v>G</x:v>
      </x:c>
      <x:c r="AR37" s="20"/>
      <x:c r="AS37" s="19" t="str">
        <x:v>156/150 G</x:v>
      </x:c>
      <x:c r="AT37" s="19" t="str">
        <x:v>verified</x:v>
      </x:c>
      <x:c r="AU37" s="44" t="n">
        <x:v>1124</x:v>
      </x:c>
      <x:c r="AV37" s="19" t="n">
        <x:v>44</x:v>
      </x:c>
      <x:c r="AW37" s="42" t="n">
        <x:f>ROUND(AU37/25.4,2)</x:f>
        <x:v>44.25</x:v>
      </x:c>
      <x:c r="AX37" s="44" t="n">
        <x:v>320</x:v>
      </x:c>
      <x:c r="AY37" s="19" t="n">
        <x:v>13</x:v>
      </x:c>
      <x:c r="AZ37" s="42" t="n">
        <x:f>ROUND(AX37/25.4,2)</x:f>
        <x:v>12.6</x:v>
      </x:c>
      <x:c r="BA37" s="31" t="b">
        <x:v>1</x:v>
      </x:c>
      <x:c r="BB37" s="31" t="b">
        <x:v>1</x:v>
      </x:c>
      <x:c r="BC37" s="31" t="b">
        <x:v>1</x:v>
      </x:c>
      <x:c r="BD37" s="20" t="str">
        <x:v>["off-road"]</x:v>
      </x:c>
      <x:c r="BE37" s="20" t="str">
        <x:v>["anti-tear","anti-wear","handling","puncture-resistance","cut-resistance"]</x:v>
      </x:c>
      <x:c r="BF37" s="43" t="b">
        <x:v>1</x:v>
      </x:c>
      <x:c r="BG37" s="19" t="str">
        <x:v>DOUBLESTAR COMBODIA TBR CATALOGUE.pdf</x:v>
      </x:c>
      <x:c r="BH37" s="19" t="n">
        <x:v>7</x:v>
      </x:c>
      <x:c r="BI37" s="19" t="n">
        <x:v>1</x:v>
      </x:c>
      <x:c r="BJ37" s="19" t="str">
        <x:v>FIO628</x:v>
      </x:c>
      <x:c r="BK37" s="19" t="str">
        <x:v>{"Size":"13R22.5","PR":20,"Tread Depth mm":21,"Tread Depth 1/32in":26,"Standard Rim":9.75,"Pressure(PSI) Single":875,"Pressure(PSI) Dual":875,"Max. Load(LBS) Single":4000,"Max. Load(LBS) Dual":3350,"Load Index Single":"156","Load Index Dual":"150","Speed Grade":"G","Overall Diameter mm":1124,"Section Width mm":320,"Overall Diameter inch":44,"Section Width inch":13}</x:v>
      </x:c>
      <x:c r="BL37" s="19" t="str">
        <x:v>verified</x:v>
      </x:c>
      <x:c r="BM37" s="20" t="str">
        <x:v>[]</x:v>
      </x:c>
      <x:c r="BN37" s="20" t="str">
        <x:v>unique</x:v>
      </x:c>
      <x:c r="BO37" s="31" t="b">
        <x:v>0</x:v>
      </x:c>
      <x:c r="BP37" s="30" t="n">
        <x:v>46229</x:v>
      </x:c>
      <x:c r="BQ37" s="30" t="n">
        <x:v>46229.270833333336</x:v>
      </x:c>
    </x:row>
    <x:row r="38">
      <x:c r="A38" s="18" t="str">
        <x:v>BIZON-VAR-DMA100-1200R24-20PR</x:v>
      </x:c>
      <x:c r="B38" s="18" t="str">
        <x:v>BIZON-MODEL-DMA100</x:v>
      </x:c>
      <x:c r="C38" s="18" t="str">
        <x:v>BIZON</x:v>
      </x:c>
      <x:c r="D38" s="18" t="str">
        <x:v>DMA100</x:v>
      </x:c>
      <x:c r="E38" s="18" t="str">
        <x:v>BIZON-DMA100-1200R24-20PR</x:v>
      </x:c>
      <x:c r="F38" s="18" t="str"/>
      <x:c r="G38" s="18" t="str">
        <x:v>active</x:v>
      </x:c>
      <x:c r="H38" s="18" t="str">
        <x:v>draft</x:v>
      </x:c>
      <x:c r="I38" s="19" t="str">
        <x:v>12.00R24</x:v>
      </x:c>
      <x:c r="J38" s="18" t="str">
        <x:v>12.00R24</x:v>
      </x:c>
      <x:c r="K38" s="18" t="str">
        <x:v>imperial</x:v>
      </x:c>
      <x:c r="L38" s="39"/>
      <x:c r="M38" s="39" t="n">
        <x:v>12</x:v>
      </x:c>
      <x:c r="N38" s="40"/>
      <x:c r="O38" s="18" t="str">
        <x:v>R</x:v>
      </x:c>
      <x:c r="P38" s="39" t="n">
        <x:v>24</x:v>
      </x:c>
      <x:c r="Q38" s="18" t="n">
        <x:v>20</x:v>
      </x:c>
      <x:c r="R38" s="39" t="n">
        <x:v>16</x:v>
      </x:c>
      <x:c r="S38" s="41" t="n">
        <x:v>20</x:v>
      </x:c>
      <x:c r="T38" s="39" t="n">
        <x:v>8.5</x:v>
      </x:c>
      <x:c r="U38" s="19" t="n">
        <x:v>900</x:v>
      </x:c>
      <x:c r="V38" s="19" t="n">
        <x:v>900</x:v>
      </x:c>
      <x:c r="W38" s="19" t="str">
        <x:v>PSI</x:v>
      </x:c>
      <x:c r="X38" s="18" t="n">
        <x:v>900</x:v>
      </x:c>
      <x:c r="Y38" s="18" t="n">
        <x:v>900</x:v>
      </x:c>
      <x:c r="Z38" s="39" t="n">
        <x:f>ROUND(X38/100,1)</x:f>
        <x:v>9</x:v>
      </x:c>
      <x:c r="AA38" s="39" t="n">
        <x:f>ROUND(Y38/100,1)</x:f>
        <x:v>9</x:v>
      </x:c>
      <x:c r="AB38" s="39" t="n">
        <x:f>ROUND(X38*0.1450377377,1)</x:f>
        <x:v>130.5</x:v>
      </x:c>
      <x:c r="AC38" s="39" t="n">
        <x:f>ROUND(Y38*0.1450377377,1)</x:f>
        <x:v>130.5</x:v>
      </x:c>
      <x:c r="AD38" s="19" t="str">
        <x:v>verified</x:v>
      </x:c>
      <x:c r="AE38" s="19" t="n">
        <x:v>4500</x:v>
      </x:c>
      <x:c r="AF38" s="19" t="n">
        <x:v>4125</x:v>
      </x:c>
      <x:c r="AG38" s="19" t="str">
        <x:v>LBS</x:v>
      </x:c>
      <x:c r="AH38" s="18" t="n">
        <x:v>4500</x:v>
      </x:c>
      <x:c r="AI38" s="18" t="n">
        <x:v>4125</x:v>
      </x:c>
      <x:c r="AJ38" s="18" t="n">
        <x:f>ROUND(AH38*2.2046226218,0)</x:f>
        <x:v>9921</x:v>
      </x:c>
      <x:c r="AK38" s="18" t="n">
        <x:f>ROUND(AI38*2.2046226218,0)</x:f>
        <x:v>9094</x:v>
      </x:c>
      <x:c r="AL38" s="19" t="str">
        <x:v>verified</x:v>
      </x:c>
      <x:c r="AM38" s="18" t="n">
        <x:v>160</x:v>
      </x:c>
      <x:c r="AN38" s="18" t="n">
        <x:v>157</x:v>
      </x:c>
      <x:c r="AO38" s="19" t="str">
        <x:v>160 / 157</x:v>
      </x:c>
      <x:c r="AP38" s="18"/>
      <x:c r="AQ38" s="18" t="str">
        <x:v>L</x:v>
      </x:c>
      <x:c r="AR38" s="18"/>
      <x:c r="AS38" s="19" t="str">
        <x:v>160/157 L</x:v>
      </x:c>
      <x:c r="AT38" s="19" t="str">
        <x:v>verified</x:v>
      </x:c>
      <x:c r="AU38" s="39" t="n">
        <x:v>1226</x:v>
      </x:c>
      <x:c r="AV38" s="19" t="n">
        <x:v>48</x:v>
      </x:c>
      <x:c r="AW38" s="42" t="n">
        <x:f>ROUND(AU38/25.4,2)</x:f>
        <x:v>48.27</x:v>
      </x:c>
      <x:c r="AX38" s="39" t="n">
        <x:v>315</x:v>
      </x:c>
      <x:c r="AY38" s="19" t="n">
        <x:v>12</x:v>
      </x:c>
      <x:c r="AZ38" s="42" t="n">
        <x:f>ROUND(AX38/25.4,2)</x:f>
        <x:v>12.4</x:v>
      </x:c>
      <x:c r="BA38" s="28" t="b">
        <x:v>1</x:v>
      </x:c>
      <x:c r="BB38" s="28" t="b">
        <x:v>1</x:v>
      </x:c>
      <x:c r="BC38" s="28" t="b">
        <x:v>1</x:v>
      </x:c>
      <x:c r="BD38" s="18" t="str">
        <x:v>["regional"]</x:v>
      </x:c>
      <x:c r="BE38" s="18" t="str">
        <x:v>["anti-wear","high-mileage","handling"]</x:v>
      </x:c>
      <x:c r="BF38" s="43" t="b">
        <x:v>1</x:v>
      </x:c>
      <x:c r="BG38" s="19" t="str">
        <x:v>DOUBLESTAR COMBODIA TBR CATALOGUE.pdf</x:v>
      </x:c>
      <x:c r="BH38" s="19" t="n">
        <x:v>8</x:v>
      </x:c>
      <x:c r="BI38" s="19" t="n">
        <x:v>1</x:v>
      </x:c>
      <x:c r="BJ38" s="19" t="str">
        <x:v>DMA100</x:v>
      </x:c>
      <x:c r="BK38" s="19" t="str">
        <x:v>{"Size":"12.00R24","PR":20,"Tread Depth mm":16,"Tread Depth 1/32in":20,"Standard Rim":8.5,"Pressure(PSI) Single":900,"Pressure(PSI) Dual":900,"Max. Load(LBS) Single":4500,"Max. Load(LBS) Dual":4125,"Load Index Single":"160","Load Index Dual":"157","Speed Grade":"L","Overall Diameter mm":1226,"Section Width mm":315,"Overall Diameter inch":48,"Section Width inch":12}</x:v>
      </x:c>
      <x:c r="BL38" s="19" t="str">
        <x:v>verified</x:v>
      </x:c>
      <x:c r="BM38" s="18" t="str">
        <x:v>[]</x:v>
      </x:c>
      <x:c r="BN38" s="18" t="str">
        <x:v>unique</x:v>
      </x:c>
      <x:c r="BO38" s="28" t="b">
        <x:v>0</x:v>
      </x:c>
      <x:c r="BP38" s="30" t="n">
        <x:v>46229</x:v>
      </x:c>
      <x:c r="BQ38" s="30" t="n">
        <x:v>46229.270833333336</x:v>
      </x:c>
    </x:row>
    <x:row r="39">
      <x:c r="A39" s="20" t="str">
        <x:v>BIZON-VAR-DMA100-32595R24-22PR</x:v>
      </x:c>
      <x:c r="B39" s="20" t="str">
        <x:v>BIZON-MODEL-DMA100</x:v>
      </x:c>
      <x:c r="C39" s="20" t="str">
        <x:v>BIZON</x:v>
      </x:c>
      <x:c r="D39" s="20" t="str">
        <x:v>DMA100</x:v>
      </x:c>
      <x:c r="E39" s="20" t="str">
        <x:v>BIZON-DMA100-32595R24-22PR</x:v>
      </x:c>
      <x:c r="F39" s="20" t="str"/>
      <x:c r="G39" s="20" t="str">
        <x:v>active</x:v>
      </x:c>
      <x:c r="H39" s="20" t="str">
        <x:v>draft</x:v>
      </x:c>
      <x:c r="I39" s="19" t="str">
        <x:v>325/95R24</x:v>
      </x:c>
      <x:c r="J39" s="20" t="str">
        <x:v>325/95R24</x:v>
      </x:c>
      <x:c r="K39" s="20" t="str">
        <x:v>metric</x:v>
      </x:c>
      <x:c r="L39" s="44" t="n">
        <x:v>325</x:v>
      </x:c>
      <x:c r="M39" s="44"/>
      <x:c r="N39" s="45" t="n">
        <x:v>95</x:v>
      </x:c>
      <x:c r="O39" s="20" t="str">
        <x:v>R</x:v>
      </x:c>
      <x:c r="P39" s="44" t="n">
        <x:v>24</x:v>
      </x:c>
      <x:c r="Q39" s="20" t="n">
        <x:v>22</x:v>
      </x:c>
      <x:c r="R39" s="44" t="n">
        <x:v>16</x:v>
      </x:c>
      <x:c r="S39" s="41" t="n">
        <x:v>20</x:v>
      </x:c>
      <x:c r="T39" s="44" t="n">
        <x:v>9</x:v>
      </x:c>
      <x:c r="U39" s="19" t="n">
        <x:v>850</x:v>
      </x:c>
      <x:c r="V39" s="19" t="n">
        <x:v>850</x:v>
      </x:c>
      <x:c r="W39" s="19" t="str">
        <x:v>PSI</x:v>
      </x:c>
      <x:c r="X39" s="20" t="n">
        <x:v>850</x:v>
      </x:c>
      <x:c r="Y39" s="20" t="n">
        <x:v>850</x:v>
      </x:c>
      <x:c r="Z39" s="44" t="n">
        <x:f>ROUND(X39/100,1)</x:f>
        <x:v>8.5</x:v>
      </x:c>
      <x:c r="AA39" s="44" t="n">
        <x:f>ROUND(Y39/100,1)</x:f>
        <x:v>8.5</x:v>
      </x:c>
      <x:c r="AB39" s="44" t="n">
        <x:f>ROUND(X39*0.1450377377,1)</x:f>
        <x:v>123.3</x:v>
      </x:c>
      <x:c r="AC39" s="44" t="n">
        <x:f>ROUND(Y39*0.1450377377,1)</x:f>
        <x:v>123.3</x:v>
      </x:c>
      <x:c r="AD39" s="19" t="str">
        <x:v>verified</x:v>
      </x:c>
      <x:c r="AE39" s="19" t="n">
        <x:v>4750</x:v>
      </x:c>
      <x:c r="AF39" s="19" t="n">
        <x:v>4500</x:v>
      </x:c>
      <x:c r="AG39" s="19" t="str">
        <x:v>LBS</x:v>
      </x:c>
      <x:c r="AH39" s="20" t="n">
        <x:v>4750</x:v>
      </x:c>
      <x:c r="AI39" s="20" t="n">
        <x:v>4500</x:v>
      </x:c>
      <x:c r="AJ39" s="20" t="n">
        <x:f>ROUND(AH39*2.2046226218,0)</x:f>
        <x:v>10472</x:v>
      </x:c>
      <x:c r="AK39" s="20" t="n">
        <x:f>ROUND(AI39*2.2046226218,0)</x:f>
        <x:v>9921</x:v>
      </x:c>
      <x:c r="AL39" s="19" t="str">
        <x:v>verified</x:v>
      </x:c>
      <x:c r="AM39" s="20" t="n">
        <x:v>162</x:v>
      </x:c>
      <x:c r="AN39" s="20" t="n">
        <x:v>160</x:v>
      </x:c>
      <x:c r="AO39" s="19" t="str">
        <x:v>162 / 160</x:v>
      </x:c>
      <x:c r="AP39" s="20"/>
      <x:c r="AQ39" s="20" t="str">
        <x:v>K</x:v>
      </x:c>
      <x:c r="AR39" s="20"/>
      <x:c r="AS39" s="19" t="str">
        <x:v>162/160 K</x:v>
      </x:c>
      <x:c r="AT39" s="19" t="str">
        <x:v>verified</x:v>
      </x:c>
      <x:c r="AU39" s="44" t="n">
        <x:v>1228</x:v>
      </x:c>
      <x:c r="AV39" s="19" t="n">
        <x:v>48</x:v>
      </x:c>
      <x:c r="AW39" s="42" t="n">
        <x:f>ROUND(AU39/25.4,2)</x:f>
        <x:v>48.35</x:v>
      </x:c>
      <x:c r="AX39" s="44" t="n">
        <x:v>312</x:v>
      </x:c>
      <x:c r="AY39" s="19" t="n">
        <x:v>12</x:v>
      </x:c>
      <x:c r="AZ39" s="42" t="n">
        <x:f>ROUND(AX39/25.4,2)</x:f>
        <x:v>12.28</x:v>
      </x:c>
      <x:c r="BA39" s="31" t="b">
        <x:v>1</x:v>
      </x:c>
      <x:c r="BB39" s="31" t="b">
        <x:v>1</x:v>
      </x:c>
      <x:c r="BC39" s="31" t="b">
        <x:v>1</x:v>
      </x:c>
      <x:c r="BD39" s="20" t="str">
        <x:v>["regional"]</x:v>
      </x:c>
      <x:c r="BE39" s="20" t="str">
        <x:v>["anti-wear","high-mileage","handling"]</x:v>
      </x:c>
      <x:c r="BF39" s="43" t="b">
        <x:v>1</x:v>
      </x:c>
      <x:c r="BG39" s="19" t="str">
        <x:v>DOUBLESTAR COMBODIA TBR CATALOGUE.pdf</x:v>
      </x:c>
      <x:c r="BH39" s="19" t="n">
        <x:v>8</x:v>
      </x:c>
      <x:c r="BI39" s="19" t="n">
        <x:v>2</x:v>
      </x:c>
      <x:c r="BJ39" s="19" t="str">
        <x:v>DMA100</x:v>
      </x:c>
      <x:c r="BK39" s="19" t="str">
        <x:v>{"Size":"325/95R24","PR":22,"Tread Depth mm":16,"Tread Depth 1/32in":20,"Standard Rim":9,"Pressure(PSI) Single":850,"Pressure(PSI) Dual":850,"Max. Load(LBS) Single":4750,"Max. Load(LBS) Dual":4500,"Load Index Single":"162","Load Index Dual":"160","Speed Grade":"K","Overall Diameter mm":1228,"Section Width mm":312,"Overall Diameter inch":48,"Section Width inch":12}</x:v>
      </x:c>
      <x:c r="BL39" s="19" t="str">
        <x:v>verified</x:v>
      </x:c>
      <x:c r="BM39" s="20" t="str">
        <x:v>[]</x:v>
      </x:c>
      <x:c r="BN39" s="20" t="str">
        <x:v>unique</x:v>
      </x:c>
      <x:c r="BO39" s="31" t="b">
        <x:v>0</x:v>
      </x:c>
      <x:c r="BP39" s="30" t="n">
        <x:v>46229</x:v>
      </x:c>
      <x:c r="BQ39" s="30" t="n">
        <x:v>46229.270833333336</x:v>
      </x:c>
    </x:row>
    <x:row r="40">
      <x:c r="A40" s="18" t="str">
        <x:v>BIZON-VAR-DMA805-38565R225-24PR</x:v>
      </x:c>
      <x:c r="B40" s="18" t="str">
        <x:v>BIZON-MODEL-DMA805</x:v>
      </x:c>
      <x:c r="C40" s="18" t="str">
        <x:v>BIZON</x:v>
      </x:c>
      <x:c r="D40" s="18" t="str">
        <x:v>DMA805</x:v>
      </x:c>
      <x:c r="E40" s="18" t="str">
        <x:v>BIZON-DMA805-38565R225-24PR</x:v>
      </x:c>
      <x:c r="F40" s="18" t="str"/>
      <x:c r="G40" s="18" t="str">
        <x:v>active</x:v>
      </x:c>
      <x:c r="H40" s="18" t="str">
        <x:v>draft</x:v>
      </x:c>
      <x:c r="I40" s="19" t="str">
        <x:v>385/65R22.5</x:v>
      </x:c>
      <x:c r="J40" s="18" t="str">
        <x:v>385/65R22.5</x:v>
      </x:c>
      <x:c r="K40" s="18" t="str">
        <x:v>metric</x:v>
      </x:c>
      <x:c r="L40" s="39" t="n">
        <x:v>385</x:v>
      </x:c>
      <x:c r="M40" s="39"/>
      <x:c r="N40" s="40" t="n">
        <x:v>65</x:v>
      </x:c>
      <x:c r="O40" s="18" t="str">
        <x:v>R</x:v>
      </x:c>
      <x:c r="P40" s="39" t="n">
        <x:v>22.5</x:v>
      </x:c>
      <x:c r="Q40" s="18" t="n">
        <x:v>24</x:v>
      </x:c>
      <x:c r="R40" s="39" t="n">
        <x:v>18</x:v>
      </x:c>
      <x:c r="S40" s="41" t="n">
        <x:v>23</x:v>
      </x:c>
      <x:c r="T40" s="39" t="n">
        <x:v>11.75</x:v>
      </x:c>
      <x:c r="U40" s="19" t="n">
        <x:v>930</x:v>
      </x:c>
      <x:c r="V40" s="19"/>
      <x:c r="W40" s="19" t="str">
        <x:v>PSI</x:v>
      </x:c>
      <x:c r="X40" s="18" t="n">
        <x:v>930</x:v>
      </x:c>
      <x:c r="Y40" s="18"/>
      <x:c r="Z40" s="39" t="n">
        <x:f>ROUND(X40/100,1)</x:f>
        <x:v>9.3</x:v>
      </x:c>
      <x:c r="AA40" s="39" t="str">
        <x:f>""</x:f>
      </x:c>
      <x:c r="AB40" s="39" t="n">
        <x:f>ROUND(X40*0.1450377377,1)</x:f>
        <x:v>134.9</x:v>
      </x:c>
      <x:c r="AC40" s="39" t="str">
        <x:f>""</x:f>
      </x:c>
      <x:c r="AD40" s="19" t="str">
        <x:v>verified</x:v>
      </x:c>
      <x:c r="AE40" s="19" t="n">
        <x:v>5000</x:v>
      </x:c>
      <x:c r="AF40" s="19"/>
      <x:c r="AG40" s="19" t="str">
        <x:v>LBS</x:v>
      </x:c>
      <x:c r="AH40" s="18" t="n">
        <x:v>5000</x:v>
      </x:c>
      <x:c r="AI40" s="18"/>
      <x:c r="AJ40" s="18" t="n">
        <x:f>ROUND(AH40*2.2046226218,0)</x:f>
        <x:v>11023</x:v>
      </x:c>
      <x:c r="AK40" s="18" t="str">
        <x:f>""</x:f>
      </x:c>
      <x:c r="AL40" s="19" t="str">
        <x:v>verified</x:v>
      </x:c>
      <x:c r="AM40" s="18" t="n">
        <x:v>164</x:v>
      </x:c>
      <x:c r="AN40" s="18"/>
      <x:c r="AO40" s="19" t="str">
        <x:v>164</x:v>
      </x:c>
      <x:c r="AP40" s="18"/>
      <x:c r="AQ40" s="18" t="str">
        <x:v>K</x:v>
      </x:c>
      <x:c r="AR40" s="18"/>
      <x:c r="AS40" s="19" t="str">
        <x:v>164 K</x:v>
      </x:c>
      <x:c r="AT40" s="19" t="str">
        <x:v>verified</x:v>
      </x:c>
      <x:c r="AU40" s="39" t="n">
        <x:v>1072</x:v>
      </x:c>
      <x:c r="AV40" s="19" t="n">
        <x:v>42</x:v>
      </x:c>
      <x:c r="AW40" s="42" t="n">
        <x:f>ROUND(AU40/25.4,2)</x:f>
        <x:v>42.2</x:v>
      </x:c>
      <x:c r="AX40" s="39" t="n">
        <x:v>389</x:v>
      </x:c>
      <x:c r="AY40" s="19" t="n">
        <x:v>15</x:v>
      </x:c>
      <x:c r="AZ40" s="42" t="n">
        <x:f>ROUND(AX40/25.4,2)</x:f>
        <x:v>15.31</x:v>
      </x:c>
      <x:c r="BA40" s="28" t="b">
        <x:v>0</x:v>
      </x:c>
      <x:c r="BB40" s="28" t="b">
        <x:v>1</x:v>
      </x:c>
      <x:c r="BC40" s="28" t="b">
        <x:v>1</x:v>
      </x:c>
      <x:c r="BD40" s="18" t="str">
        <x:v>["regional","urban"]</x:v>
      </x:c>
      <x:c r="BE40" s="18" t="str">
        <x:v>["anti-tear","heavy-load","retreadability","stone-ejection","cut-resistance"]</x:v>
      </x:c>
      <x:c r="BF40" s="43" t="b">
        <x:v>1</x:v>
      </x:c>
      <x:c r="BG40" s="19" t="str">
        <x:v>DOUBLESTAR COMBODIA TBR CATALOGUE.pdf</x:v>
      </x:c>
      <x:c r="BH40" s="19" t="n">
        <x:v>8</x:v>
      </x:c>
      <x:c r="BI40" s="19" t="n">
        <x:v>1</x:v>
      </x:c>
      <x:c r="BJ40" s="19" t="str">
        <x:v>DMA805</x:v>
      </x:c>
      <x:c r="BK40" s="19" t="str">
        <x:v>{"Size":"385/65R22.5","PR":24,"Tread Depth mm":18,"Tread Depth 1/32in":23,"Standard Rim":11.75,"Pressure(PSI) Single":930,"Pressure(PSI) Dual":null,"Max. Load(LBS) Single":5000,"Max. Load(LBS) Dual":null,"Load Index Single":"164","Load Index Dual":null,"Speed Grade":"K","Overall Diameter mm":1072,"Section Width mm":389,"Overall Diameter inch":42,"Section Width inch":15}</x:v>
      </x:c>
      <x:c r="BL40" s="19" t="str">
        <x:v>verified</x:v>
      </x:c>
      <x:c r="BM40" s="18" t="str">
        <x:v>[]</x:v>
      </x:c>
      <x:c r="BN40" s="18" t="str">
        <x:v>unique</x:v>
      </x:c>
      <x:c r="BO40" s="28" t="b">
        <x:v>0</x:v>
      </x:c>
      <x:c r="BP40" s="30" t="n">
        <x:v>46229</x:v>
      </x:c>
      <x:c r="BQ40" s="30" t="n">
        <x:v>46229.270833333336</x:v>
      </x:c>
    </x:row>
    <x:row r="41">
      <x:c r="A41" s="20" t="str">
        <x:v>BIZON-VAR-DMA805-42565R225-20PR</x:v>
      </x:c>
      <x:c r="B41" s="20" t="str">
        <x:v>BIZON-MODEL-DMA805</x:v>
      </x:c>
      <x:c r="C41" s="20" t="str">
        <x:v>BIZON</x:v>
      </x:c>
      <x:c r="D41" s="20" t="str">
        <x:v>DMA805</x:v>
      </x:c>
      <x:c r="E41" s="20" t="str">
        <x:v>BIZON-DMA805-42565R225-20PR</x:v>
      </x:c>
      <x:c r="F41" s="20" t="str"/>
      <x:c r="G41" s="20" t="str">
        <x:v>active</x:v>
      </x:c>
      <x:c r="H41" s="20" t="str">
        <x:v>draft</x:v>
      </x:c>
      <x:c r="I41" s="19" t="str">
        <x:v>425/65R22.5</x:v>
      </x:c>
      <x:c r="J41" s="20" t="str">
        <x:v>425/65R22.5</x:v>
      </x:c>
      <x:c r="K41" s="20" t="str">
        <x:v>metric</x:v>
      </x:c>
      <x:c r="L41" s="44" t="n">
        <x:v>425</x:v>
      </x:c>
      <x:c r="M41" s="44"/>
      <x:c r="N41" s="45" t="n">
        <x:v>65</x:v>
      </x:c>
      <x:c r="O41" s="20" t="str">
        <x:v>R</x:v>
      </x:c>
      <x:c r="P41" s="44" t="n">
        <x:v>22.5</x:v>
      </x:c>
      <x:c r="Q41" s="20" t="n">
        <x:v>20</x:v>
      </x:c>
      <x:c r="R41" s="44" t="n">
        <x:v>18</x:v>
      </x:c>
      <x:c r="S41" s="41" t="n">
        <x:v>23</x:v>
      </x:c>
      <x:c r="T41" s="44" t="n">
        <x:v>12.25</x:v>
      </x:c>
      <x:c r="U41" s="19" t="n">
        <x:v>830</x:v>
      </x:c>
      <x:c r="V41" s="19"/>
      <x:c r="W41" s="19" t="str">
        <x:v>PSI</x:v>
      </x:c>
      <x:c r="X41" s="20" t="n">
        <x:v>830</x:v>
      </x:c>
      <x:c r="Y41" s="20"/>
      <x:c r="Z41" s="44" t="n">
        <x:f>ROUND(X41/100,1)</x:f>
        <x:v>8.3</x:v>
      </x:c>
      <x:c r="AA41" s="44" t="str">
        <x:f>""</x:f>
      </x:c>
      <x:c r="AB41" s="44" t="n">
        <x:f>ROUND(X41*0.1450377377,1)</x:f>
        <x:v>120.4</x:v>
      </x:c>
      <x:c r="AC41" s="44" t="str">
        <x:f>""</x:f>
      </x:c>
      <x:c r="AD41" s="19" t="str">
        <x:v>verified</x:v>
      </x:c>
      <x:c r="AE41" s="19" t="n">
        <x:v>5150</x:v>
      </x:c>
      <x:c r="AF41" s="19"/>
      <x:c r="AG41" s="19" t="str">
        <x:v>LBS</x:v>
      </x:c>
      <x:c r="AH41" s="20" t="n">
        <x:v>5150</x:v>
      </x:c>
      <x:c r="AI41" s="20"/>
      <x:c r="AJ41" s="20" t="n">
        <x:f>ROUND(AH41*2.2046226218,0)</x:f>
        <x:v>11354</x:v>
      </x:c>
      <x:c r="AK41" s="20" t="str">
        <x:f>""</x:f>
      </x:c>
      <x:c r="AL41" s="19" t="str">
        <x:v>verified</x:v>
      </x:c>
      <x:c r="AM41" s="20" t="n">
        <x:v>165</x:v>
      </x:c>
      <x:c r="AN41" s="20"/>
      <x:c r="AO41" s="19" t="str">
        <x:v>165</x:v>
      </x:c>
      <x:c r="AP41" s="20"/>
      <x:c r="AQ41" s="20" t="str">
        <x:v>K</x:v>
      </x:c>
      <x:c r="AR41" s="20"/>
      <x:c r="AS41" s="19" t="str">
        <x:v>165 K</x:v>
      </x:c>
      <x:c r="AT41" s="19" t="str">
        <x:v>verified</x:v>
      </x:c>
      <x:c r="AU41" s="44" t="n">
        <x:v>1124</x:v>
      </x:c>
      <x:c r="AV41" s="19" t="n">
        <x:v>44</x:v>
      </x:c>
      <x:c r="AW41" s="42" t="n">
        <x:f>ROUND(AU41/25.4,2)</x:f>
        <x:v>44.25</x:v>
      </x:c>
      <x:c r="AX41" s="44" t="n">
        <x:v>422</x:v>
      </x:c>
      <x:c r="AY41" s="19" t="n">
        <x:v>17</x:v>
      </x:c>
      <x:c r="AZ41" s="42" t="n">
        <x:f>ROUND(AX41/25.4,2)</x:f>
        <x:v>16.61</x:v>
      </x:c>
      <x:c r="BA41" s="31" t="b">
        <x:v>0</x:v>
      </x:c>
      <x:c r="BB41" s="31" t="b">
        <x:v>1</x:v>
      </x:c>
      <x:c r="BC41" s="31" t="b">
        <x:v>1</x:v>
      </x:c>
      <x:c r="BD41" s="20" t="str">
        <x:v>["regional","urban"]</x:v>
      </x:c>
      <x:c r="BE41" s="20" t="str">
        <x:v>["anti-tear","heavy-load","retreadability","stone-ejection","cut-resistance"]</x:v>
      </x:c>
      <x:c r="BF41" s="43" t="b">
        <x:v>1</x:v>
      </x:c>
      <x:c r="BG41" s="19" t="str">
        <x:v>DOUBLESTAR COMBODIA TBR CATALOGUE.pdf</x:v>
      </x:c>
      <x:c r="BH41" s="19" t="n">
        <x:v>8</x:v>
      </x:c>
      <x:c r="BI41" s="19" t="n">
        <x:v>2</x:v>
      </x:c>
      <x:c r="BJ41" s="19" t="str">
        <x:v>DMA805</x:v>
      </x:c>
      <x:c r="BK41" s="19" t="str">
        <x:v>{"Size":"425/65R22.5","PR":20,"Tread Depth mm":18,"Tread Depth 1/32in":23,"Standard Rim":12.25,"Pressure(PSI) Single":830,"Pressure(PSI) Dual":null,"Max. Load(LBS) Single":5150,"Max. Load(LBS) Dual":null,"Load Index Single":"165","Load Index Dual":null,"Speed Grade":"K","Overall Diameter mm":1124,"Section Width mm":422,"Overall Diameter inch":44,"Section Width inch":17}</x:v>
      </x:c>
      <x:c r="BL41" s="19" t="str">
        <x:v>verified</x:v>
      </x:c>
      <x:c r="BM41" s="20" t="str">
        <x:v>[]</x:v>
      </x:c>
      <x:c r="BN41" s="20" t="str">
        <x:v>unique</x:v>
      </x:c>
      <x:c r="BO41" s="31" t="b">
        <x:v>0</x:v>
      </x:c>
      <x:c r="BP41" s="30" t="n">
        <x:v>46229</x:v>
      </x:c>
      <x:c r="BQ41" s="30" t="n">
        <x:v>46229.270833333336</x:v>
      </x:c>
    </x:row>
    <x:row r="42">
      <x:c r="A42" s="18" t="str">
        <x:v>BIZON-VAR-DMA805-44565R225-20PR</x:v>
      </x:c>
      <x:c r="B42" s="18" t="str">
        <x:v>BIZON-MODEL-DMA805</x:v>
      </x:c>
      <x:c r="C42" s="18" t="str">
        <x:v>BIZON</x:v>
      </x:c>
      <x:c r="D42" s="18" t="str">
        <x:v>DMA805</x:v>
      </x:c>
      <x:c r="E42" s="18" t="str">
        <x:v>BIZON-DMA805-44565R225-20PR</x:v>
      </x:c>
      <x:c r="F42" s="18" t="str"/>
      <x:c r="G42" s="18" t="str">
        <x:v>active</x:v>
      </x:c>
      <x:c r="H42" s="18" t="str">
        <x:v>draft</x:v>
      </x:c>
      <x:c r="I42" s="19" t="str">
        <x:v>445/65R22.5</x:v>
      </x:c>
      <x:c r="J42" s="18" t="str">
        <x:v>445/65R22.5</x:v>
      </x:c>
      <x:c r="K42" s="18" t="str">
        <x:v>metric</x:v>
      </x:c>
      <x:c r="L42" s="39" t="n">
        <x:v>445</x:v>
      </x:c>
      <x:c r="M42" s="39"/>
      <x:c r="N42" s="40" t="n">
        <x:v>65</x:v>
      </x:c>
      <x:c r="O42" s="18" t="str">
        <x:v>R</x:v>
      </x:c>
      <x:c r="P42" s="39" t="n">
        <x:v>22.5</x:v>
      </x:c>
      <x:c r="Q42" s="18" t="n">
        <x:v>20</x:v>
      </x:c>
      <x:c r="R42" s="39" t="n">
        <x:v>18</x:v>
      </x:c>
      <x:c r="S42" s="41" t="n">
        <x:v>23</x:v>
      </x:c>
      <x:c r="T42" s="39" t="n">
        <x:v>13</x:v>
      </x:c>
      <x:c r="U42" s="19" t="n">
        <x:v>900</x:v>
      </x:c>
      <x:c r="V42" s="19"/>
      <x:c r="W42" s="19" t="str">
        <x:v>PSI</x:v>
      </x:c>
      <x:c r="X42" s="18" t="n">
        <x:v>900</x:v>
      </x:c>
      <x:c r="Y42" s="18"/>
      <x:c r="Z42" s="39" t="n">
        <x:f>ROUND(X42/100,1)</x:f>
        <x:v>9</x:v>
      </x:c>
      <x:c r="AA42" s="39" t="str">
        <x:f>""</x:f>
      </x:c>
      <x:c r="AB42" s="39" t="n">
        <x:f>ROUND(X42*0.1450377377,1)</x:f>
        <x:v>130.5</x:v>
      </x:c>
      <x:c r="AC42" s="39" t="str">
        <x:f>""</x:f>
      </x:c>
      <x:c r="AD42" s="19" t="str">
        <x:v>verified</x:v>
      </x:c>
      <x:c r="AE42" s="19" t="n">
        <x:v>5800</x:v>
      </x:c>
      <x:c r="AF42" s="19"/>
      <x:c r="AG42" s="19" t="str">
        <x:v>LBS</x:v>
      </x:c>
      <x:c r="AH42" s="18" t="n">
        <x:v>5800</x:v>
      </x:c>
      <x:c r="AI42" s="18"/>
      <x:c r="AJ42" s="18" t="n">
        <x:f>ROUND(AH42*2.2046226218,0)</x:f>
        <x:v>12787</x:v>
      </x:c>
      <x:c r="AK42" s="18" t="str">
        <x:f>""</x:f>
      </x:c>
      <x:c r="AL42" s="19" t="str">
        <x:v>verified</x:v>
      </x:c>
      <x:c r="AM42" s="18" t="n">
        <x:v>169</x:v>
      </x:c>
      <x:c r="AN42" s="18"/>
      <x:c r="AO42" s="19" t="str">
        <x:v>169</x:v>
      </x:c>
      <x:c r="AP42" s="18"/>
      <x:c r="AQ42" s="18" t="str">
        <x:v>K</x:v>
      </x:c>
      <x:c r="AR42" s="18"/>
      <x:c r="AS42" s="19" t="str">
        <x:v>169 K</x:v>
      </x:c>
      <x:c r="AT42" s="19" t="str">
        <x:v>verified</x:v>
      </x:c>
      <x:c r="AU42" s="39" t="n">
        <x:v>1150</x:v>
      </x:c>
      <x:c r="AV42" s="19" t="n">
        <x:v>45</x:v>
      </x:c>
      <x:c r="AW42" s="42" t="n">
        <x:f>ROUND(AU42/25.4,2)</x:f>
        <x:v>45.28</x:v>
      </x:c>
      <x:c r="AX42" s="39" t="n">
        <x:v>444</x:v>
      </x:c>
      <x:c r="AY42" s="19" t="n">
        <x:v>17</x:v>
      </x:c>
      <x:c r="AZ42" s="42" t="n">
        <x:f>ROUND(AX42/25.4,2)</x:f>
        <x:v>17.48</x:v>
      </x:c>
      <x:c r="BA42" s="28" t="b">
        <x:v>0</x:v>
      </x:c>
      <x:c r="BB42" s="28" t="b">
        <x:v>1</x:v>
      </x:c>
      <x:c r="BC42" s="28" t="b">
        <x:v>1</x:v>
      </x:c>
      <x:c r="BD42" s="18" t="str">
        <x:v>["regional","urban"]</x:v>
      </x:c>
      <x:c r="BE42" s="18" t="str">
        <x:v>["anti-tear","heavy-load","retreadability","stone-ejection","cut-resistance"]</x:v>
      </x:c>
      <x:c r="BF42" s="43" t="b">
        <x:v>1</x:v>
      </x:c>
      <x:c r="BG42" s="19" t="str">
        <x:v>DOUBLESTAR COMBODIA TBR CATALOGUE.pdf</x:v>
      </x:c>
      <x:c r="BH42" s="19" t="n">
        <x:v>8</x:v>
      </x:c>
      <x:c r="BI42" s="19" t="n">
        <x:v>3</x:v>
      </x:c>
      <x:c r="BJ42" s="19" t="str">
        <x:v>DMA805</x:v>
      </x:c>
      <x:c r="BK42" s="19" t="str">
        <x:v>{"Size":"445/65R22.5","PR":20,"Tread Depth mm":18,"Tread Depth 1/32in":23,"Standard Rim":13,"Pressure(PSI) Single":900,"Pressure(PSI) Dual":null,"Max. Load(LBS) Single":5800,"Max. Load(LBS) Dual":null,"Load Index Single":"169","Load Index Dual":null,"Speed Grade":"K","Overall Diameter mm":1150,"Section Width mm":444,"Overall Diameter inch":45,"Section Width inch":17}</x:v>
      </x:c>
      <x:c r="BL42" s="19" t="str">
        <x:v>verified</x:v>
      </x:c>
      <x:c r="BM42" s="18" t="str">
        <x:v>[]</x:v>
      </x:c>
      <x:c r="BN42" s="18" t="str">
        <x:v>unique</x:v>
      </x:c>
      <x:c r="BO42" s="28" t="b">
        <x:v>0</x:v>
      </x:c>
      <x:c r="BP42" s="30" t="n">
        <x:v>46229</x:v>
      </x:c>
      <x:c r="BQ42" s="30" t="n">
        <x:v>46229.270833333336</x:v>
      </x:c>
    </x:row>
    <x:row r="43">
      <x:c r="A43" s="20" t="str">
        <x:v>BIZON-VAR-DSR177-1200R20-22PR</x:v>
      </x:c>
      <x:c r="B43" s="20" t="str">
        <x:v>BIZON-MODEL-DSR177</x:v>
      </x:c>
      <x:c r="C43" s="20" t="str">
        <x:v>BIZON</x:v>
      </x:c>
      <x:c r="D43" s="20" t="str">
        <x:v>DSR177</x:v>
      </x:c>
      <x:c r="E43" s="20" t="str">
        <x:v>BIZON-DSR177-1200R20-22PR</x:v>
      </x:c>
      <x:c r="F43" s="20" t="str"/>
      <x:c r="G43" s="20" t="str">
        <x:v>active</x:v>
      </x:c>
      <x:c r="H43" s="20" t="str">
        <x:v>draft</x:v>
      </x:c>
      <x:c r="I43" s="19" t="str">
        <x:v>12.00R20</x:v>
      </x:c>
      <x:c r="J43" s="20" t="str">
        <x:v>12.00R20</x:v>
      </x:c>
      <x:c r="K43" s="20" t="str">
        <x:v>imperial</x:v>
      </x:c>
      <x:c r="L43" s="44"/>
      <x:c r="M43" s="44" t="n">
        <x:v>12</x:v>
      </x:c>
      <x:c r="N43" s="45"/>
      <x:c r="O43" s="20" t="str">
        <x:v>R</x:v>
      </x:c>
      <x:c r="P43" s="44" t="n">
        <x:v>20</x:v>
      </x:c>
      <x:c r="Q43" s="20" t="n">
        <x:v>22</x:v>
      </x:c>
      <x:c r="R43" s="44" t="n">
        <x:v>26</x:v>
      </x:c>
      <x:c r="S43" s="41" t="n">
        <x:v>33</x:v>
      </x:c>
      <x:c r="T43" s="44" t="n">
        <x:v>8.5</x:v>
      </x:c>
      <x:c r="U43" s="19" t="n">
        <x:v>960</x:v>
      </x:c>
      <x:c r="V43" s="19" t="n">
        <x:v>960</x:v>
      </x:c>
      <x:c r="W43" s="19" t="str">
        <x:v>PSI</x:v>
      </x:c>
      <x:c r="X43" s="20" t="n">
        <x:v>960</x:v>
      </x:c>
      <x:c r="Y43" s="20" t="n">
        <x:v>960</x:v>
      </x:c>
      <x:c r="Z43" s="44" t="n">
        <x:f>ROUND(X43/100,1)</x:f>
        <x:v>9.6</x:v>
      </x:c>
      <x:c r="AA43" s="44" t="n">
        <x:f>ROUND(Y43/100,1)</x:f>
        <x:v>9.6</x:v>
      </x:c>
      <x:c r="AB43" s="44" t="n">
        <x:f>ROUND(X43*0.1450377377,1)</x:f>
        <x:v>139.2</x:v>
      </x:c>
      <x:c r="AC43" s="44" t="n">
        <x:f>ROUND(Y43*0.1450377377,1)</x:f>
        <x:v>139.2</x:v>
      </x:c>
      <x:c r="AD43" s="19" t="str">
        <x:v>verified</x:v>
      </x:c>
      <x:c r="AE43" s="19" t="n">
        <x:v>4250</x:v>
      </x:c>
      <x:c r="AF43" s="19" t="n">
        <x:v>3875</x:v>
      </x:c>
      <x:c r="AG43" s="19" t="str">
        <x:v>LBS</x:v>
      </x:c>
      <x:c r="AH43" s="20" t="n">
        <x:v>4250</x:v>
      </x:c>
      <x:c r="AI43" s="20" t="n">
        <x:v>3875</x:v>
      </x:c>
      <x:c r="AJ43" s="20" t="n">
        <x:f>ROUND(AH43*2.2046226218,0)</x:f>
        <x:v>9370</x:v>
      </x:c>
      <x:c r="AK43" s="20" t="n">
        <x:f>ROUND(AI43*2.2046226218,0)</x:f>
        <x:v>8543</x:v>
      </x:c>
      <x:c r="AL43" s="19" t="str">
        <x:v>verified</x:v>
      </x:c>
      <x:c r="AM43" s="20" t="n">
        <x:v>158</x:v>
      </x:c>
      <x:c r="AN43" s="20" t="n">
        <x:v>155</x:v>
      </x:c>
      <x:c r="AO43" s="19" t="str">
        <x:v>158 / 155</x:v>
      </x:c>
      <x:c r="AP43" s="20"/>
      <x:c r="AQ43" s="20" t="str">
        <x:v>B</x:v>
      </x:c>
      <x:c r="AR43" s="20"/>
      <x:c r="AS43" s="19" t="str">
        <x:v>158/155 B</x:v>
      </x:c>
      <x:c r="AT43" s="19" t="str">
        <x:v>verified</x:v>
      </x:c>
      <x:c r="AU43" s="44" t="n">
        <x:v>1125</x:v>
      </x:c>
      <x:c r="AV43" s="19" t="n">
        <x:v>44</x:v>
      </x:c>
      <x:c r="AW43" s="42" t="n">
        <x:f>ROUND(AU43/25.4,2)</x:f>
        <x:v>44.29</x:v>
      </x:c>
      <x:c r="AX43" s="44" t="n">
        <x:v>315</x:v>
      </x:c>
      <x:c r="AY43" s="19" t="n">
        <x:v>12</x:v>
      </x:c>
      <x:c r="AZ43" s="42" t="n">
        <x:f>ROUND(AX43/25.4,2)</x:f>
        <x:v>12.4</x:v>
      </x:c>
      <x:c r="BA43" s="31" t="b">
        <x:v>1</x:v>
      </x:c>
      <x:c r="BB43" s="31" t="b">
        <x:v>1</x:v>
      </x:c>
      <x:c r="BC43" s="31" t="b">
        <x:v>1</x:v>
      </x:c>
      <x:c r="BD43" s="20" t="str">
        <x:v>["off-road"]</x:v>
      </x:c>
      <x:c r="BE43" s="20" t="str">
        <x:v>["anti-tear","heavy-load","heat-dissipation"]</x:v>
      </x:c>
      <x:c r="BF43" s="43" t="b">
        <x:v>1</x:v>
      </x:c>
      <x:c r="BG43" s="19" t="str">
        <x:v>DOUBLESTAR COMBODIA TBR CATALOGUE.pdf</x:v>
      </x:c>
      <x:c r="BH43" s="19" t="n">
        <x:v>8</x:v>
      </x:c>
      <x:c r="BI43" s="19" t="n">
        <x:v>1</x:v>
      </x:c>
      <x:c r="BJ43" s="19" t="str">
        <x:v>DSR177</x:v>
      </x:c>
      <x:c r="BK43" s="19" t="str">
        <x:v>{"Size":"12.00R20","PR":22,"Tread Depth mm":26,"Tread Depth 1/32in":33,"Standard Rim":8.5,"Pressure(PSI) Single":960,"Pressure(PSI) Dual":960,"Max. Load(LBS) Single":4250,"Max. Load(LBS) Dual":3875,"Load Index Single":"158","Load Index Dual":"155","Speed Grade":"B","Overall Diameter mm":1125,"Section Width mm":315,"Overall Diameter inch":44,"Section Width inch":12}</x:v>
      </x:c>
      <x:c r="BL43" s="19" t="str">
        <x:v>verified</x:v>
      </x:c>
      <x:c r="BM43" s="20" t="str">
        <x:v>[]</x:v>
      </x:c>
      <x:c r="BN43" s="20" t="str">
        <x:v>unique</x:v>
      </x:c>
      <x:c r="BO43" s="31" t="b">
        <x:v>0</x:v>
      </x:c>
      <x:c r="BP43" s="30" t="n">
        <x:v>46229</x:v>
      </x:c>
      <x:c r="BQ43" s="30" t="n">
        <x:v>46229.270833333336</x:v>
      </x:c>
    </x:row>
    <x:row r="44">
      <x:c r="A44" s="18" t="str">
        <x:v>BIZON-VAR-DSR830-1200R20-20PR</x:v>
      </x:c>
      <x:c r="B44" s="18" t="str">
        <x:v>BIZON-MODEL-DSR830</x:v>
      </x:c>
      <x:c r="C44" s="18" t="str">
        <x:v>BIZON</x:v>
      </x:c>
      <x:c r="D44" s="18" t="str">
        <x:v>DSR830</x:v>
      </x:c>
      <x:c r="E44" s="18" t="str">
        <x:v>BIZON-DSR830-1200R20-20PR</x:v>
      </x:c>
      <x:c r="F44" s="18" t="str"/>
      <x:c r="G44" s="18" t="str">
        <x:v>active</x:v>
      </x:c>
      <x:c r="H44" s="18" t="str">
        <x:v>draft</x:v>
      </x:c>
      <x:c r="I44" s="19" t="str">
        <x:v>12.00R20</x:v>
      </x:c>
      <x:c r="J44" s="18" t="str">
        <x:v>12.00R20</x:v>
      </x:c>
      <x:c r="K44" s="18" t="str">
        <x:v>imperial</x:v>
      </x:c>
      <x:c r="L44" s="39"/>
      <x:c r="M44" s="39" t="n">
        <x:v>12</x:v>
      </x:c>
      <x:c r="N44" s="40"/>
      <x:c r="O44" s="18" t="str">
        <x:v>R</x:v>
      </x:c>
      <x:c r="P44" s="39" t="n">
        <x:v>20</x:v>
      </x:c>
      <x:c r="Q44" s="18" t="n">
        <x:v>20</x:v>
      </x:c>
      <x:c r="R44" s="39" t="n">
        <x:v>23.5</x:v>
      </x:c>
      <x:c r="S44" s="41" t="n">
        <x:v>30</x:v>
      </x:c>
      <x:c r="T44" s="39" t="n">
        <x:v>8.5</x:v>
      </x:c>
      <x:c r="U44" s="19" t="n">
        <x:v>900</x:v>
      </x:c>
      <x:c r="V44" s="19" t="n">
        <x:v>900</x:v>
      </x:c>
      <x:c r="W44" s="19" t="str">
        <x:v>PSI</x:v>
      </x:c>
      <x:c r="X44" s="18" t="n">
        <x:v>900</x:v>
      </x:c>
      <x:c r="Y44" s="18" t="n">
        <x:v>900</x:v>
      </x:c>
      <x:c r="Z44" s="39" t="n">
        <x:f>ROUND(X44/100,1)</x:f>
        <x:v>9</x:v>
      </x:c>
      <x:c r="AA44" s="39" t="n">
        <x:f>ROUND(Y44/100,1)</x:f>
        <x:v>9</x:v>
      </x:c>
      <x:c r="AB44" s="39" t="n">
        <x:f>ROUND(X44*0.1450377377,1)</x:f>
        <x:v>130.5</x:v>
      </x:c>
      <x:c r="AC44" s="39" t="n">
        <x:f>ROUND(Y44*0.1450377377,1)</x:f>
        <x:v>130.5</x:v>
      </x:c>
      <x:c r="AD44" s="19" t="str">
        <x:v>verified</x:v>
      </x:c>
      <x:c r="AE44" s="19" t="n">
        <x:v>4000</x:v>
      </x:c>
      <x:c r="AF44" s="19" t="n">
        <x:v>3650</x:v>
      </x:c>
      <x:c r="AG44" s="19" t="str">
        <x:v>LBS</x:v>
      </x:c>
      <x:c r="AH44" s="18" t="n">
        <x:v>4000</x:v>
      </x:c>
      <x:c r="AI44" s="18" t="n">
        <x:v>3650</x:v>
      </x:c>
      <x:c r="AJ44" s="18" t="n">
        <x:f>ROUND(AH44*2.2046226218,0)</x:f>
        <x:v>8818</x:v>
      </x:c>
      <x:c r="AK44" s="18" t="n">
        <x:f>ROUND(AI44*2.2046226218,0)</x:f>
        <x:v>8047</x:v>
      </x:c>
      <x:c r="AL44" s="19" t="str">
        <x:v>verified</x:v>
      </x:c>
      <x:c r="AM44" s="18" t="n">
        <x:v>156</x:v>
      </x:c>
      <x:c r="AN44" s="18" t="n">
        <x:v>153</x:v>
      </x:c>
      <x:c r="AO44" s="19" t="str">
        <x:v>156 / 153</x:v>
      </x:c>
      <x:c r="AP44" s="18"/>
      <x:c r="AQ44" s="18" t="str">
        <x:v>F</x:v>
      </x:c>
      <x:c r="AR44" s="18"/>
      <x:c r="AS44" s="19" t="str">
        <x:v>156/153 F</x:v>
      </x:c>
      <x:c r="AT44" s="19" t="str">
        <x:v>verified</x:v>
      </x:c>
      <x:c r="AU44" s="39" t="n">
        <x:v>1125</x:v>
      </x:c>
      <x:c r="AV44" s="19" t="n">
        <x:v>44</x:v>
      </x:c>
      <x:c r="AW44" s="42" t="n">
        <x:f>ROUND(AU44/25.4,2)</x:f>
        <x:v>44.29</x:v>
      </x:c>
      <x:c r="AX44" s="39" t="n">
        <x:v>315</x:v>
      </x:c>
      <x:c r="AY44" s="19" t="n">
        <x:v>12</x:v>
      </x:c>
      <x:c r="AZ44" s="42" t="n">
        <x:f>ROUND(AX44/25.4,2)</x:f>
        <x:v>12.4</x:v>
      </x:c>
      <x:c r="BA44" s="28" t="b">
        <x:v>1</x:v>
      </x:c>
      <x:c r="BB44" s="28" t="b">
        <x:v>1</x:v>
      </x:c>
      <x:c r="BC44" s="28" t="b">
        <x:v>1</x:v>
      </x:c>
      <x:c r="BD44" s="18" t="str">
        <x:v>["off-road"]</x:v>
      </x:c>
      <x:c r="BE44" s="18" t="str">
        <x:v>["anti-tear","anti-wear","handling","puncture-resistance"]</x:v>
      </x:c>
      <x:c r="BF44" s="43" t="b">
        <x:v>1</x:v>
      </x:c>
      <x:c r="BG44" s="19" t="str">
        <x:v>DOUBLESTAR COMBODIA TBR CATALOGUE.pdf</x:v>
      </x:c>
      <x:c r="BH44" s="19" t="n">
        <x:v>8</x:v>
      </x:c>
      <x:c r="BI44" s="19" t="n">
        <x:v>1</x:v>
      </x:c>
      <x:c r="BJ44" s="19" t="str">
        <x:v>DSR830</x:v>
      </x:c>
      <x:c r="BK44" s="19" t="str">
        <x:v>{"Size":"12.00R20","PR":20,"Tread Depth mm":23.5,"Tread Depth 1/32in":30,"Standard Rim":8.5,"Pressure(PSI) Single":900,"Pressure(PSI) Dual":900,"Max. Load(LBS) Single":4000,"Max. Load(LBS) Dual":3650,"Load Index Single":"156","Load Index Dual":"153","Speed Grade":"F","Overall Diameter mm":1125,"Section Width mm":315,"Overall Diameter inch":44,"Section Width inch":12}</x:v>
      </x:c>
      <x:c r="BL44" s="19" t="str">
        <x:v>verified</x:v>
      </x:c>
      <x:c r="BM44" s="18" t="str">
        <x:v>[]</x:v>
      </x:c>
      <x:c r="BN44" s="18" t="str">
        <x:v>unique</x:v>
      </x:c>
      <x:c r="BO44" s="28" t="b">
        <x:v>0</x:v>
      </x:c>
      <x:c r="BP44" s="30" t="n">
        <x:v>46229</x:v>
      </x:c>
      <x:c r="BQ44" s="30" t="n">
        <x:v>46229.270833333336</x:v>
      </x:c>
    </x:row>
    <x:row r="45">
      <x:c r="A45" s="20" t="str">
        <x:v>BIZON-VAR-DSR158-1200R20-20PR</x:v>
      </x:c>
      <x:c r="B45" s="20" t="str">
        <x:v>BIZON-MODEL-DSR158</x:v>
      </x:c>
      <x:c r="C45" s="20" t="str">
        <x:v>BIZON</x:v>
      </x:c>
      <x:c r="D45" s="20" t="str">
        <x:v>DSR158</x:v>
      </x:c>
      <x:c r="E45" s="20" t="str">
        <x:v>BIZON-DSR158-1200R20-20PR</x:v>
      </x:c>
      <x:c r="F45" s="20" t="str"/>
      <x:c r="G45" s="20" t="str">
        <x:v>active</x:v>
      </x:c>
      <x:c r="H45" s="20" t="str">
        <x:v>draft</x:v>
      </x:c>
      <x:c r="I45" s="19" t="str">
        <x:v>12.00R20</x:v>
      </x:c>
      <x:c r="J45" s="20" t="str">
        <x:v>12.00R20</x:v>
      </x:c>
      <x:c r="K45" s="20" t="str">
        <x:v>imperial</x:v>
      </x:c>
      <x:c r="L45" s="44"/>
      <x:c r="M45" s="44" t="n">
        <x:v>12</x:v>
      </x:c>
      <x:c r="N45" s="45"/>
      <x:c r="O45" s="20" t="str">
        <x:v>R</x:v>
      </x:c>
      <x:c r="P45" s="44" t="n">
        <x:v>20</x:v>
      </x:c>
      <x:c r="Q45" s="20" t="n">
        <x:v>20</x:v>
      </x:c>
      <x:c r="R45" s="44" t="n">
        <x:v>18</x:v>
      </x:c>
      <x:c r="S45" s="41" t="n">
        <x:v>23</x:v>
      </x:c>
      <x:c r="T45" s="44" t="n">
        <x:v>8.5</x:v>
      </x:c>
      <x:c r="U45" s="19" t="n">
        <x:v>900</x:v>
      </x:c>
      <x:c r="V45" s="19" t="n">
        <x:v>900</x:v>
      </x:c>
      <x:c r="W45" s="19" t="str">
        <x:v>PSI</x:v>
      </x:c>
      <x:c r="X45" s="20" t="n">
        <x:v>900</x:v>
      </x:c>
      <x:c r="Y45" s="20" t="n">
        <x:v>900</x:v>
      </x:c>
      <x:c r="Z45" s="44" t="n">
        <x:f>ROUND(X45/100,1)</x:f>
        <x:v>9</x:v>
      </x:c>
      <x:c r="AA45" s="44" t="n">
        <x:f>ROUND(Y45/100,1)</x:f>
        <x:v>9</x:v>
      </x:c>
      <x:c r="AB45" s="44" t="n">
        <x:f>ROUND(X45*0.1450377377,1)</x:f>
        <x:v>130.5</x:v>
      </x:c>
      <x:c r="AC45" s="44" t="n">
        <x:f>ROUND(Y45*0.1450377377,1)</x:f>
        <x:v>130.5</x:v>
      </x:c>
      <x:c r="AD45" s="19" t="str">
        <x:v>verified</x:v>
      </x:c>
      <x:c r="AE45" s="19" t="n">
        <x:v>4000</x:v>
      </x:c>
      <x:c r="AF45" s="19" t="n">
        <x:v>3650</x:v>
      </x:c>
      <x:c r="AG45" s="19" t="str">
        <x:v>LBS</x:v>
      </x:c>
      <x:c r="AH45" s="20" t="n">
        <x:v>4000</x:v>
      </x:c>
      <x:c r="AI45" s="20" t="n">
        <x:v>3650</x:v>
      </x:c>
      <x:c r="AJ45" s="20" t="n">
        <x:f>ROUND(AH45*2.2046226218,0)</x:f>
        <x:v>8818</x:v>
      </x:c>
      <x:c r="AK45" s="20" t="n">
        <x:f>ROUND(AI45*2.2046226218,0)</x:f>
        <x:v>8047</x:v>
      </x:c>
      <x:c r="AL45" s="19" t="str">
        <x:v>verified</x:v>
      </x:c>
      <x:c r="AM45" s="20" t="n">
        <x:v>156</x:v>
      </x:c>
      <x:c r="AN45" s="20" t="n">
        <x:v>153</x:v>
      </x:c>
      <x:c r="AO45" s="19" t="str">
        <x:v>156 / 153</x:v>
      </x:c>
      <x:c r="AP45" s="20"/>
      <x:c r="AQ45" s="20" t="str">
        <x:v>J</x:v>
      </x:c>
      <x:c r="AR45" s="20"/>
      <x:c r="AS45" s="19" t="str">
        <x:v>156/153 J</x:v>
      </x:c>
      <x:c r="AT45" s="19" t="str">
        <x:v>verified</x:v>
      </x:c>
      <x:c r="AU45" s="44" t="n">
        <x:v>1125</x:v>
      </x:c>
      <x:c r="AV45" s="19" t="n">
        <x:v>44</x:v>
      </x:c>
      <x:c r="AW45" s="42" t="n">
        <x:f>ROUND(AU45/25.4,2)</x:f>
        <x:v>44.29</x:v>
      </x:c>
      <x:c r="AX45" s="44" t="n">
        <x:v>315</x:v>
      </x:c>
      <x:c r="AY45" s="19" t="n">
        <x:v>12</x:v>
      </x:c>
      <x:c r="AZ45" s="42" t="n">
        <x:f>ROUND(AX45/25.4,2)</x:f>
        <x:v>12.4</x:v>
      </x:c>
      <x:c r="BA45" s="31" t="b">
        <x:v>0</x:v>
      </x:c>
      <x:c r="BB45" s="31" t="b">
        <x:v>1</x:v>
      </x:c>
      <x:c r="BC45" s="31" t="b">
        <x:v>0</x:v>
      </x:c>
      <x:c r="BD45" s="20" t="str">
        <x:v>["long-haul"]</x:v>
      </x:c>
      <x:c r="BE45" s="20" t="str">
        <x:v>["heavy-load","self-cleaning","anti-tear","stone-ejection"]</x:v>
      </x:c>
      <x:c r="BF45" s="43" t="b">
        <x:v>1</x:v>
      </x:c>
      <x:c r="BG45" s="19" t="str">
        <x:v>DOUBLESTAR COMBODIA TBR CATALOGUE.pdf</x:v>
      </x:c>
      <x:c r="BH45" s="19" t="n">
        <x:v>9</x:v>
      </x:c>
      <x:c r="BI45" s="19" t="n">
        <x:v>1</x:v>
      </x:c>
      <x:c r="BJ45" s="19" t="str">
        <x:v>DSR158</x:v>
      </x:c>
      <x:c r="BK45" s="19" t="str">
        <x:v>{"Size":"12.00R20","PR":20,"Tread Depth mm":18,"Tread Depth 1/32in":23,"Standard Rim":8.5,"Pressure(PSI) Single":900,"Pressure(PSI) Dual":900,"Max. Load(LBS) Single":4000,"Max. Load(LBS) Dual":3650,"Load Index Single":"156","Load Index Dual":"153","Speed Grade":"J","Overall Diameter mm":1125,"Section Width mm":315,"Overall Diameter inch":44,"Section Width inch":12}</x:v>
      </x:c>
      <x:c r="BL45" s="19" t="str">
        <x:v>verified</x:v>
      </x:c>
      <x:c r="BM45" s="20" t="str">
        <x:v>[]</x:v>
      </x:c>
      <x:c r="BN45" s="20" t="str">
        <x:v>unique</x:v>
      </x:c>
      <x:c r="BO45" s="31" t="b">
        <x:v>0</x:v>
      </x:c>
      <x:c r="BP45" s="30" t="n">
        <x:v>46229</x:v>
      </x:c>
      <x:c r="BQ45" s="30" t="n">
        <x:v>46229.270833333336</x:v>
      </x:c>
    </x:row>
    <x:row r="46">
      <x:c r="A46" s="18" t="str">
        <x:v>BIZON-VAR-DSR188-1200R20-20PR</x:v>
      </x:c>
      <x:c r="B46" s="18" t="str">
        <x:v>BIZON-MODEL-DSR188</x:v>
      </x:c>
      <x:c r="C46" s="18" t="str">
        <x:v>BIZON</x:v>
      </x:c>
      <x:c r="D46" s="18" t="str">
        <x:v>DSR188</x:v>
      </x:c>
      <x:c r="E46" s="18" t="str">
        <x:v>BIZON-DSR188-1200R20-20PR</x:v>
      </x:c>
      <x:c r="F46" s="18" t="str"/>
      <x:c r="G46" s="18" t="str">
        <x:v>active</x:v>
      </x:c>
      <x:c r="H46" s="18" t="str">
        <x:v>draft</x:v>
      </x:c>
      <x:c r="I46" s="19" t="str">
        <x:v>12.00R20</x:v>
      </x:c>
      <x:c r="J46" s="18" t="str">
        <x:v>12.00R20</x:v>
      </x:c>
      <x:c r="K46" s="18" t="str">
        <x:v>imperial</x:v>
      </x:c>
      <x:c r="L46" s="39"/>
      <x:c r="M46" s="39" t="n">
        <x:v>12</x:v>
      </x:c>
      <x:c r="N46" s="40"/>
      <x:c r="O46" s="18" t="str">
        <x:v>R</x:v>
      </x:c>
      <x:c r="P46" s="39" t="n">
        <x:v>20</x:v>
      </x:c>
      <x:c r="Q46" s="18" t="n">
        <x:v>20</x:v>
      </x:c>
      <x:c r="R46" s="39" t="n">
        <x:v>17.5</x:v>
      </x:c>
      <x:c r="S46" s="41" t="n">
        <x:v>22</x:v>
      </x:c>
      <x:c r="T46" s="39" t="n">
        <x:v>8.5</x:v>
      </x:c>
      <x:c r="U46" s="19" t="n">
        <x:v>900</x:v>
      </x:c>
      <x:c r="V46" s="19" t="n">
        <x:v>900</x:v>
      </x:c>
      <x:c r="W46" s="19" t="str">
        <x:v>PSI</x:v>
      </x:c>
      <x:c r="X46" s="18" t="n">
        <x:v>900</x:v>
      </x:c>
      <x:c r="Y46" s="18" t="n">
        <x:v>900</x:v>
      </x:c>
      <x:c r="Z46" s="39" t="n">
        <x:f>ROUND(X46/100,1)</x:f>
        <x:v>9</x:v>
      </x:c>
      <x:c r="AA46" s="39" t="n">
        <x:f>ROUND(Y46/100,1)</x:f>
        <x:v>9</x:v>
      </x:c>
      <x:c r="AB46" s="39" t="n">
        <x:f>ROUND(X46*0.1450377377,1)</x:f>
        <x:v>130.5</x:v>
      </x:c>
      <x:c r="AC46" s="39" t="n">
        <x:f>ROUND(Y46*0.1450377377,1)</x:f>
        <x:v>130.5</x:v>
      </x:c>
      <x:c r="AD46" s="19" t="str">
        <x:v>verified</x:v>
      </x:c>
      <x:c r="AE46" s="19" t="n">
        <x:v>4000</x:v>
      </x:c>
      <x:c r="AF46" s="19" t="n">
        <x:v>3650</x:v>
      </x:c>
      <x:c r="AG46" s="19" t="str">
        <x:v>LBS</x:v>
      </x:c>
      <x:c r="AH46" s="18" t="n">
        <x:v>4000</x:v>
      </x:c>
      <x:c r="AI46" s="18" t="n">
        <x:v>3650</x:v>
      </x:c>
      <x:c r="AJ46" s="18" t="n">
        <x:f>ROUND(AH46*2.2046226218,0)</x:f>
        <x:v>8818</x:v>
      </x:c>
      <x:c r="AK46" s="18" t="n">
        <x:f>ROUND(AI46*2.2046226218,0)</x:f>
        <x:v>8047</x:v>
      </x:c>
      <x:c r="AL46" s="19" t="str">
        <x:v>verified</x:v>
      </x:c>
      <x:c r="AM46" s="18" t="n">
        <x:v>156</x:v>
      </x:c>
      <x:c r="AN46" s="18" t="n">
        <x:v>183</x:v>
      </x:c>
      <x:c r="AO46" s="19" t="str">
        <x:v>156 / 183</x:v>
      </x:c>
      <x:c r="AP46" s="18"/>
      <x:c r="AQ46" s="18" t="str">
        <x:v>K</x:v>
      </x:c>
      <x:c r="AR46" s="18"/>
      <x:c r="AS46" s="19" t="str">
        <x:v>156/183 K</x:v>
      </x:c>
      <x:c r="AT46" s="19" t="str">
        <x:v>needs_review</x:v>
      </x:c>
      <x:c r="AU46" s="39" t="n">
        <x:v>1125</x:v>
      </x:c>
      <x:c r="AV46" s="19" t="n">
        <x:v>44</x:v>
      </x:c>
      <x:c r="AW46" s="42" t="n">
        <x:f>ROUND(AU46/25.4,2)</x:f>
        <x:v>44.29</x:v>
      </x:c>
      <x:c r="AX46" s="39" t="n">
        <x:v>315</x:v>
      </x:c>
      <x:c r="AY46" s="19" t="n">
        <x:v>12</x:v>
      </x:c>
      <x:c r="AZ46" s="42" t="n">
        <x:f>ROUND(AX46/25.4,2)</x:f>
        <x:v>12.4</x:v>
      </x:c>
      <x:c r="BA46" s="28" t="b">
        <x:v>1</x:v>
      </x:c>
      <x:c r="BB46" s="28" t="b">
        <x:v>1</x:v>
      </x:c>
      <x:c r="BC46" s="28" t="b">
        <x:v>1</x:v>
      </x:c>
      <x:c r="BD46" s="18" t="str">
        <x:v>["regional"]</x:v>
      </x:c>
      <x:c r="BE46" s="18" t="str">
        <x:v>["anti-wear","economy","heavy-load","heat-dissipation"]</x:v>
      </x:c>
      <x:c r="BF46" s="43" t="b">
        <x:v>1</x:v>
      </x:c>
      <x:c r="BG46" s="19" t="str">
        <x:v>DOUBLESTAR COMBODIA TBR CATALOGUE.pdf</x:v>
      </x:c>
      <x:c r="BH46" s="19" t="n">
        <x:v>9</x:v>
      </x:c>
      <x:c r="BI46" s="19" t="n">
        <x:v>1</x:v>
      </x:c>
      <x:c r="BJ46" s="19" t="str">
        <x:v>DSR188</x:v>
      </x:c>
      <x:c r="BK46" s="19" t="str">
        <x:v>{"Size":"12.00R20","PR":20,"Tread Depth mm":17.5,"Tread Depth 1/32in":22,"Standard Rim":8.5,"Pressure(PSI) Single":900,"Pressure(PSI) Dual":900,"Max. Load(LBS) Single":4000,"Max. Load(LBS) Dual":3650,"Load Index Single":"156","Load Index Dual":"183","Speed Grade":"K","Overall Diameter mm":1125,"Section Width mm":315,"Overall Diameter inch":44,"Section Width inch":12}</x:v>
      </x:c>
      <x:c r="BL46" s="19" t="str">
        <x:v>needs_review</x:v>
      </x:c>
      <x:c r="BM46" s="18" t="str">
        <x:v>["suspicious_load_index_183"]</x:v>
      </x:c>
      <x:c r="BN46" s="18" t="str">
        <x:v>unique</x:v>
      </x:c>
      <x:c r="BO46" s="28" t="b">
        <x:v>1</x:v>
      </x:c>
      <x:c r="BP46" s="30" t="n">
        <x:v>46229</x:v>
      </x:c>
      <x:c r="BQ46" s="30" t="n">
        <x:v>46229.270833333336</x:v>
      </x:c>
    </x:row>
    <x:row r="47">
      <x:c r="A47" s="20" t="str">
        <x:v>BIZON-VAR-DSR188-1200R20-18PR</x:v>
      </x:c>
      <x:c r="B47" s="20" t="str">
        <x:v>BIZON-MODEL-DSR188</x:v>
      </x:c>
      <x:c r="C47" s="20" t="str">
        <x:v>BIZON</x:v>
      </x:c>
      <x:c r="D47" s="20" t="str">
        <x:v>DSR188</x:v>
      </x:c>
      <x:c r="E47" s="20" t="str">
        <x:v>BIZON-DSR188-1200R20-18PR</x:v>
      </x:c>
      <x:c r="F47" s="20" t="str"/>
      <x:c r="G47" s="20" t="str">
        <x:v>active</x:v>
      </x:c>
      <x:c r="H47" s="20" t="str">
        <x:v>draft</x:v>
      </x:c>
      <x:c r="I47" s="19" t="str">
        <x:v>12.00R20</x:v>
      </x:c>
      <x:c r="J47" s="20" t="str">
        <x:v>12.00R20</x:v>
      </x:c>
      <x:c r="K47" s="20" t="str">
        <x:v>imperial</x:v>
      </x:c>
      <x:c r="L47" s="44"/>
      <x:c r="M47" s="44" t="n">
        <x:v>12</x:v>
      </x:c>
      <x:c r="N47" s="45"/>
      <x:c r="O47" s="20" t="str">
        <x:v>R</x:v>
      </x:c>
      <x:c r="P47" s="44" t="n">
        <x:v>20</x:v>
      </x:c>
      <x:c r="Q47" s="20" t="n">
        <x:v>18</x:v>
      </x:c>
      <x:c r="R47" s="44" t="n">
        <x:v>17.5</x:v>
      </x:c>
      <x:c r="S47" s="41" t="n">
        <x:v>22</x:v>
      </x:c>
      <x:c r="T47" s="44" t="n">
        <x:v>8.5</x:v>
      </x:c>
      <x:c r="U47" s="19" t="n">
        <x:v>830</x:v>
      </x:c>
      <x:c r="V47" s="19" t="n">
        <x:v>830</x:v>
      </x:c>
      <x:c r="W47" s="19" t="str">
        <x:v>PSI</x:v>
      </x:c>
      <x:c r="X47" s="20" t="n">
        <x:v>830</x:v>
      </x:c>
      <x:c r="Y47" s="20" t="n">
        <x:v>830</x:v>
      </x:c>
      <x:c r="Z47" s="44" t="n">
        <x:f>ROUND(X47/100,1)</x:f>
        <x:v>8.3</x:v>
      </x:c>
      <x:c r="AA47" s="44" t="n">
        <x:f>ROUND(Y47/100,1)</x:f>
        <x:v>8.3</x:v>
      </x:c>
      <x:c r="AB47" s="44" t="n">
        <x:f>ROUND(X47*0.1450377377,1)</x:f>
        <x:v>120.4</x:v>
      </x:c>
      <x:c r="AC47" s="44" t="n">
        <x:f>ROUND(Y47*0.1450377377,1)</x:f>
        <x:v>120.4</x:v>
      </x:c>
      <x:c r="AD47" s="19" t="str">
        <x:v>verified</x:v>
      </x:c>
      <x:c r="AE47" s="19" t="n">
        <x:v>3750</x:v>
      </x:c>
      <x:c r="AF47" s="19" t="n">
        <x:v>3450</x:v>
      </x:c>
      <x:c r="AG47" s="19" t="str">
        <x:v>LBS</x:v>
      </x:c>
      <x:c r="AH47" s="20" t="n">
        <x:v>3750</x:v>
      </x:c>
      <x:c r="AI47" s="20" t="n">
        <x:v>3450</x:v>
      </x:c>
      <x:c r="AJ47" s="20" t="n">
        <x:f>ROUND(AH47*2.2046226218,0)</x:f>
        <x:v>8267</x:v>
      </x:c>
      <x:c r="AK47" s="20" t="n">
        <x:f>ROUND(AI47*2.2046226218,0)</x:f>
        <x:v>7606</x:v>
      </x:c>
      <x:c r="AL47" s="19" t="str">
        <x:v>verified</x:v>
      </x:c>
      <x:c r="AM47" s="20" t="n">
        <x:v>154</x:v>
      </x:c>
      <x:c r="AN47" s="20" t="n">
        <x:v>151</x:v>
      </x:c>
      <x:c r="AO47" s="19" t="str">
        <x:v>154 / 151</x:v>
      </x:c>
      <x:c r="AP47" s="20"/>
      <x:c r="AQ47" s="20" t="str">
        <x:v>K</x:v>
      </x:c>
      <x:c r="AR47" s="20"/>
      <x:c r="AS47" s="19" t="str">
        <x:v>154/151 K</x:v>
      </x:c>
      <x:c r="AT47" s="19" t="str">
        <x:v>verified</x:v>
      </x:c>
      <x:c r="AU47" s="44" t="n">
        <x:v>1125</x:v>
      </x:c>
      <x:c r="AV47" s="19" t="n">
        <x:v>44</x:v>
      </x:c>
      <x:c r="AW47" s="42" t="n">
        <x:f>ROUND(AU47/25.4,2)</x:f>
        <x:v>44.29</x:v>
      </x:c>
      <x:c r="AX47" s="44" t="n">
        <x:v>315</x:v>
      </x:c>
      <x:c r="AY47" s="19" t="n">
        <x:v>12</x:v>
      </x:c>
      <x:c r="AZ47" s="42" t="n">
        <x:f>ROUND(AX47/25.4,2)</x:f>
        <x:v>12.4</x:v>
      </x:c>
      <x:c r="BA47" s="31" t="b">
        <x:v>1</x:v>
      </x:c>
      <x:c r="BB47" s="31" t="b">
        <x:v>1</x:v>
      </x:c>
      <x:c r="BC47" s="31" t="b">
        <x:v>1</x:v>
      </x:c>
      <x:c r="BD47" s="20" t="str">
        <x:v>["regional"]</x:v>
      </x:c>
      <x:c r="BE47" s="20" t="str">
        <x:v>["anti-wear","economy","heavy-load","heat-dissipation"]</x:v>
      </x:c>
      <x:c r="BF47" s="43" t="b">
        <x:v>1</x:v>
      </x:c>
      <x:c r="BG47" s="19" t="str">
        <x:v>DOUBLESTAR COMBODIA TBR CATALOGUE.pdf</x:v>
      </x:c>
      <x:c r="BH47" s="19" t="n">
        <x:v>9</x:v>
      </x:c>
      <x:c r="BI47" s="19" t="n">
        <x:v>2</x:v>
      </x:c>
      <x:c r="BJ47" s="19" t="str">
        <x:v>DSR188</x:v>
      </x:c>
      <x:c r="BK47" s="19" t="str">
        <x:v>{"Size":"12.00R20","PR":18,"Tread Depth mm":17.5,"Tread Depth 1/32in":22,"Standard Rim":8.5,"Pressure(PSI) Single":830,"Pressure(PSI) Dual":830,"Max. Load(LBS) Single":3750,"Max. Load(LBS) Dual":3450,"Load Index Single":"154","Load Index Dual":"151","Speed Grade":"K","Overall Diameter mm":1125,"Section Width mm":315,"Overall Diameter inch":44,"Section Width inch":12}</x:v>
      </x:c>
      <x:c r="BL47" s="19" t="str">
        <x:v>verified</x:v>
      </x:c>
      <x:c r="BM47" s="20" t="str">
        <x:v>[]</x:v>
      </x:c>
      <x:c r="BN47" s="20" t="str">
        <x:v>unique</x:v>
      </x:c>
      <x:c r="BO47" s="31" t="b">
        <x:v>0</x:v>
      </x:c>
      <x:c r="BP47" s="30" t="n">
        <x:v>46229</x:v>
      </x:c>
      <x:c r="BQ47" s="30" t="n">
        <x:v>46229.270833333336</x:v>
      </x:c>
    </x:row>
    <x:row r="48">
      <x:c r="A48" s="18" t="str">
        <x:v>BIZON-VAR-TAX106-44545R195-20PR</x:v>
      </x:c>
      <x:c r="B48" s="18" t="str">
        <x:v>BIZON-MODEL-TAX106</x:v>
      </x:c>
      <x:c r="C48" s="18" t="str">
        <x:v>BIZON</x:v>
      </x:c>
      <x:c r="D48" s="18" t="str">
        <x:v>TAX106</x:v>
      </x:c>
      <x:c r="E48" s="18" t="str">
        <x:v>BIZON-TAX106-44545R195-20PR</x:v>
      </x:c>
      <x:c r="F48" s="18" t="str"/>
      <x:c r="G48" s="18" t="str">
        <x:v>active</x:v>
      </x:c>
      <x:c r="H48" s="18" t="str">
        <x:v>draft</x:v>
      </x:c>
      <x:c r="I48" s="19" t="str">
        <x:v>445/45R19.5</x:v>
      </x:c>
      <x:c r="J48" s="18" t="str">
        <x:v>445/45R19.5</x:v>
      </x:c>
      <x:c r="K48" s="18" t="str">
        <x:v>metric</x:v>
      </x:c>
      <x:c r="L48" s="39" t="n">
        <x:v>445</x:v>
      </x:c>
      <x:c r="M48" s="39"/>
      <x:c r="N48" s="40" t="n">
        <x:v>45</x:v>
      </x:c>
      <x:c r="O48" s="18" t="str">
        <x:v>R</x:v>
      </x:c>
      <x:c r="P48" s="39" t="n">
        <x:v>19.5</x:v>
      </x:c>
      <x:c r="Q48" s="18" t="n">
        <x:v>20</x:v>
      </x:c>
      <x:c r="R48" s="39" t="n">
        <x:v>13.5</x:v>
      </x:c>
      <x:c r="S48" s="41" t="n">
        <x:v>17</x:v>
      </x:c>
      <x:c r="T48" s="39" t="n">
        <x:v>15</x:v>
      </x:c>
      <x:c r="U48" s="19" t="n">
        <x:v>900</x:v>
      </x:c>
      <x:c r="V48" s="19"/>
      <x:c r="W48" s="19" t="str">
        <x:v>PSI</x:v>
      </x:c>
      <x:c r="X48" s="18" t="n">
        <x:v>900</x:v>
      </x:c>
      <x:c r="Y48" s="18"/>
      <x:c r="Z48" s="39" t="n">
        <x:f>ROUND(X48/100,1)</x:f>
        <x:v>9</x:v>
      </x:c>
      <x:c r="AA48" s="39" t="str">
        <x:f>""</x:f>
      </x:c>
      <x:c r="AB48" s="39" t="n">
        <x:f>ROUND(X48*0.1450377377,1)</x:f>
        <x:v>130.5</x:v>
      </x:c>
      <x:c r="AC48" s="39" t="str">
        <x:f>""</x:f>
      </x:c>
      <x:c r="AD48" s="19" t="str">
        <x:v>verified</x:v>
      </x:c>
      <x:c r="AE48" s="19" t="n">
        <x:v>4500</x:v>
      </x:c>
      <x:c r="AF48" s="19"/>
      <x:c r="AG48" s="19" t="str">
        <x:v>LBS</x:v>
      </x:c>
      <x:c r="AH48" s="18" t="n">
        <x:v>4500</x:v>
      </x:c>
      <x:c r="AI48" s="18"/>
      <x:c r="AJ48" s="18" t="n">
        <x:f>ROUND(AH48*2.2046226218,0)</x:f>
        <x:v>9921</x:v>
      </x:c>
      <x:c r="AK48" s="18" t="str">
        <x:f>""</x:f>
      </x:c>
      <x:c r="AL48" s="19" t="str">
        <x:v>verified</x:v>
      </x:c>
      <x:c r="AM48" s="18" t="n">
        <x:v>160</x:v>
      </x:c>
      <x:c r="AN48" s="18"/>
      <x:c r="AO48" s="19" t="str">
        <x:v>160</x:v>
      </x:c>
      <x:c r="AP48" s="18"/>
      <x:c r="AQ48" s="18" t="str">
        <x:v>J</x:v>
      </x:c>
      <x:c r="AR48" s="18"/>
      <x:c r="AS48" s="19" t="str">
        <x:v>160 J</x:v>
      </x:c>
      <x:c r="AT48" s="19" t="str">
        <x:v>verified</x:v>
      </x:c>
      <x:c r="AU48" s="39" t="n">
        <x:v>895</x:v>
      </x:c>
      <x:c r="AV48" s="19" t="n">
        <x:v>35</x:v>
      </x:c>
      <x:c r="AW48" s="42" t="n">
        <x:f>ROUND(AU48/25.4,2)</x:f>
        <x:v>35.24</x:v>
      </x:c>
      <x:c r="AX48" s="39" t="n">
        <x:v>446</x:v>
      </x:c>
      <x:c r="AY48" s="19" t="n">
        <x:v>18</x:v>
      </x:c>
      <x:c r="AZ48" s="42" t="n">
        <x:f>ROUND(AX48/25.4,2)</x:f>
        <x:v>17.56</x:v>
      </x:c>
      <x:c r="BA48" s="28" t="b">
        <x:v>0</x:v>
      </x:c>
      <x:c r="BB48" s="28" t="b">
        <x:v>1</x:v>
      </x:c>
      <x:c r="BC48" s="28" t="b">
        <x:v>1</x:v>
      </x:c>
      <x:c r="BD48" s="18" t="str">
        <x:v>["long-haul","urban"]</x:v>
      </x:c>
      <x:c r="BE48" s="18" t="str">
        <x:v>["low-noise","anti-wear","economy","safety"]</x:v>
      </x:c>
      <x:c r="BF48" s="43" t="b">
        <x:v>1</x:v>
      </x:c>
      <x:c r="BG48" s="19" t="str">
        <x:v>DOUBLESTAR COMBODIA TBR CATALOGUE.pdf</x:v>
      </x:c>
      <x:c r="BH48" s="19" t="n">
        <x:v>9</x:v>
      </x:c>
      <x:c r="BI48" s="19" t="n">
        <x:v>1</x:v>
      </x:c>
      <x:c r="BJ48" s="19" t="str">
        <x:v>TAX106</x:v>
      </x:c>
      <x:c r="BK48" s="19" t="str">
        <x:v>{"Size":"445/45R19.5","PR":20,"Tread Depth mm":13.5,"Tread Depth 1/32in":17,"Standard Rim":15,"Pressure(PSI) Single":900,"Pressure(PSI) Dual":null,"Max. Load(LBS) Single":4500,"Max. Load(LBS) Dual":null,"Load Index Single":"160","Load Index Dual":null,"Speed Grade":"J","Overall Diameter mm":895,"Section Width mm":446,"Overall Diameter inch":35,"Section Width inch":18}</x:v>
      </x:c>
      <x:c r="BL48" s="19" t="str">
        <x:v>verified</x:v>
      </x:c>
      <x:c r="BM48" s="18" t="str">
        <x:v>[]</x:v>
      </x:c>
      <x:c r="BN48" s="18" t="str">
        <x:v>unique</x:v>
      </x:c>
      <x:c r="BO48" s="28" t="b">
        <x:v>0</x:v>
      </x:c>
      <x:c r="BP48" s="30" t="n">
        <x:v>46229</x:v>
      </x:c>
      <x:c r="BQ48" s="30" t="n">
        <x:v>46229.270833333336</x:v>
      </x:c>
    </x:row>
    <x:row r="49">
      <x:c r="A49" s="20" t="str">
        <x:v>BIZON-VAR-TTX108-43550R195-20PR</x:v>
      </x:c>
      <x:c r="B49" s="20" t="str">
        <x:v>BIZON-MODEL-TTX108</x:v>
      </x:c>
      <x:c r="C49" s="20" t="str">
        <x:v>BIZON</x:v>
      </x:c>
      <x:c r="D49" s="20" t="str">
        <x:v>TTX108</x:v>
      </x:c>
      <x:c r="E49" s="20" t="str">
        <x:v>BIZON-TTX108-43550R195-20PR</x:v>
      </x:c>
      <x:c r="F49" s="20" t="str"/>
      <x:c r="G49" s="20" t="str">
        <x:v>active</x:v>
      </x:c>
      <x:c r="H49" s="20" t="str">
        <x:v>draft</x:v>
      </x:c>
      <x:c r="I49" s="19" t="str">
        <x:v>435/50R19.5</x:v>
      </x:c>
      <x:c r="J49" s="20" t="str">
        <x:v>435/50R19.5</x:v>
      </x:c>
      <x:c r="K49" s="20" t="str">
        <x:v>metric</x:v>
      </x:c>
      <x:c r="L49" s="44" t="n">
        <x:v>435</x:v>
      </x:c>
      <x:c r="M49" s="44"/>
      <x:c r="N49" s="45" t="n">
        <x:v>50</x:v>
      </x:c>
      <x:c r="O49" s="20" t="str">
        <x:v>R</x:v>
      </x:c>
      <x:c r="P49" s="44" t="n">
        <x:v>19.5</x:v>
      </x:c>
      <x:c r="Q49" s="20" t="n">
        <x:v>20</x:v>
      </x:c>
      <x:c r="R49" s="44" t="n">
        <x:v>13.5</x:v>
      </x:c>
      <x:c r="S49" s="41" t="n">
        <x:v>17</x:v>
      </x:c>
      <x:c r="T49" s="44" t="n">
        <x:v>14</x:v>
      </x:c>
      <x:c r="U49" s="19" t="n">
        <x:v>900</x:v>
      </x:c>
      <x:c r="V49" s="19"/>
      <x:c r="W49" s="19" t="str">
        <x:v>PSI</x:v>
      </x:c>
      <x:c r="X49" s="20" t="n">
        <x:v>900</x:v>
      </x:c>
      <x:c r="Y49" s="20"/>
      <x:c r="Z49" s="44" t="n">
        <x:f>ROUND(X49/100,1)</x:f>
        <x:v>9</x:v>
      </x:c>
      <x:c r="AA49" s="44" t="str">
        <x:f>""</x:f>
      </x:c>
      <x:c r="AB49" s="44" t="n">
        <x:f>ROUND(X49*0.1450377377,1)</x:f>
        <x:v>130.5</x:v>
      </x:c>
      <x:c r="AC49" s="44" t="str">
        <x:f>""</x:f>
      </x:c>
      <x:c r="AD49" s="19" t="str">
        <x:v>verified</x:v>
      </x:c>
      <x:c r="AE49" s="19" t="n">
        <x:v>4500</x:v>
      </x:c>
      <x:c r="AF49" s="19"/>
      <x:c r="AG49" s="19" t="str">
        <x:v>LBS</x:v>
      </x:c>
      <x:c r="AH49" s="20" t="n">
        <x:v>4500</x:v>
      </x:c>
      <x:c r="AI49" s="20"/>
      <x:c r="AJ49" s="20" t="n">
        <x:f>ROUND(AH49*2.2046226218,0)</x:f>
        <x:v>9921</x:v>
      </x:c>
      <x:c r="AK49" s="20" t="str">
        <x:f>""</x:f>
      </x:c>
      <x:c r="AL49" s="19" t="str">
        <x:v>verified</x:v>
      </x:c>
      <x:c r="AM49" s="20" t="n">
        <x:v>160</x:v>
      </x:c>
      <x:c r="AN49" s="20"/>
      <x:c r="AO49" s="19" t="str">
        <x:v>160</x:v>
      </x:c>
      <x:c r="AP49" s="20"/>
      <x:c r="AQ49" s="20" t="str">
        <x:v>J</x:v>
      </x:c>
      <x:c r="AR49" s="20"/>
      <x:c r="AS49" s="19" t="str">
        <x:v>160 J</x:v>
      </x:c>
      <x:c r="AT49" s="19" t="str">
        <x:v>verified</x:v>
      </x:c>
      <x:c r="AU49" s="44" t="n">
        <x:v>931</x:v>
      </x:c>
      <x:c r="AV49" s="19" t="n">
        <x:v>37</x:v>
      </x:c>
      <x:c r="AW49" s="42" t="n">
        <x:f>ROUND(AU49/25.4,2)</x:f>
        <x:v>36.65</x:v>
      </x:c>
      <x:c r="AX49" s="44" t="n">
        <x:v>438</x:v>
      </x:c>
      <x:c r="AY49" s="19" t="n">
        <x:v>17</x:v>
      </x:c>
      <x:c r="AZ49" s="42" t="n">
        <x:f>ROUND(AX49/25.4,2)</x:f>
        <x:v>17.24</x:v>
      </x:c>
      <x:c r="BA49" s="31" t="b">
        <x:v>0</x:v>
      </x:c>
      <x:c r="BB49" s="31" t="b">
        <x:v>1</x:v>
      </x:c>
      <x:c r="BC49" s="31" t="b">
        <x:v>1</x:v>
      </x:c>
      <x:c r="BD49" s="20" t="str">
        <x:v>["long-haul"]</x:v>
      </x:c>
      <x:c r="BE49" s="20" t="str">
        <x:v>["low-noise","anti-wear","economy","safety"]</x:v>
      </x:c>
      <x:c r="BF49" s="43" t="b">
        <x:v>1</x:v>
      </x:c>
      <x:c r="BG49" s="19" t="str">
        <x:v>DOUBLESTAR COMBODIA TBR CATALOGUE.pdf</x:v>
      </x:c>
      <x:c r="BH49" s="19" t="n">
        <x:v>9</x:v>
      </x:c>
      <x:c r="BI49" s="19" t="n">
        <x:v>1</x:v>
      </x:c>
      <x:c r="BJ49" s="19" t="str">
        <x:v>TTX108</x:v>
      </x:c>
      <x:c r="BK49" s="19" t="str">
        <x:v>{"Size":"435/50R19.5","PR":20,"Tread Depth mm":13.5,"Tread Depth 1/32in":17,"Standard Rim":14,"Pressure(PSI) Single":900,"Pressure(PSI) Dual":null,"Max. Load(LBS) Single":4500,"Max. Load(LBS) Dual":null,"Load Index Single":"160","Load Index Dual":null,"Speed Grade":"J","Overall Diameter mm":931,"Section Width mm":438,"Overall Diameter inch":37,"Section Width inch":17}</x:v>
      </x:c>
      <x:c r="BL49" s="19" t="str">
        <x:v>verified</x:v>
      </x:c>
      <x:c r="BM49" s="20" t="str">
        <x:v>[]</x:v>
      </x:c>
      <x:c r="BN49" s="20" t="str">
        <x:v>unique</x:v>
      </x:c>
      <x:c r="BO49" s="31" t="b">
        <x:v>0</x:v>
      </x:c>
      <x:c r="BP49" s="30" t="n">
        <x:v>46229</x:v>
      </x:c>
      <x:c r="BQ49" s="30" t="n">
        <x:v>46229.270833333336</x:v>
      </x:c>
    </x:row>
  </x:sheetData>
  <x:conditionalFormatting sqref="AD2:AD49">
    <x:cfRule type="containsText" dxfId="3" priority="1" operator="containsText" text="verified"/>
    <x:cfRule type="containsText" dxfId="4" priority="2" operator="containsText" text="needs_review"/>
    <x:cfRule type="containsText" dxfId="5" priority="3" operator="containsText" text="rejected"/>
  </x:conditionalFormatting>
  <x:conditionalFormatting sqref="AL2:AL49">
    <x:cfRule type="containsText" dxfId="6" priority="4" operator="containsText" text="verified"/>
    <x:cfRule type="containsText" dxfId="7" priority="5" operator="containsText" text="needs_review"/>
    <x:cfRule type="containsText" dxfId="8" priority="6" operator="containsText" text="rejected"/>
  </x:conditionalFormatting>
  <x:conditionalFormatting sqref="AT2:AT49">
    <x:cfRule type="containsText" dxfId="9" priority="7" operator="containsText" text="verified"/>
    <x:cfRule type="containsText" dxfId="10" priority="8" operator="containsText" text="needs_review"/>
    <x:cfRule type="containsText" dxfId="11" priority="9" operator="containsText" text="rejected"/>
  </x:conditionalFormatting>
  <x:conditionalFormatting sqref="BL2:BL49">
    <x:cfRule type="containsText" dxfId="12" priority="10" operator="containsText" text="verified"/>
    <x:cfRule type="containsText" dxfId="13" priority="11" operator="containsText" text="needs_review"/>
    <x:cfRule type="containsText" dxfId="14" priority="12" operator="containsText" text="rejected"/>
  </x:conditionalFormatting>
  <x:conditionalFormatting sqref="BO2:BO49">
    <x:cfRule type="cellIs" dxfId="15" priority="13" operator="equal">
      <x:formula>1</x:formula>
    </x:cfRule>
  </x:conditionalFormatting>
  <x:conditionalFormatting sqref="BN2:BN49">
    <x:cfRule type="containsText" dxfId="16" priority="14" operator="containsText" text="duplicate"/>
  </x:conditionalFormatting>
  <x:dataValidations count="14">
    <x:dataValidation type="list" sqref="H2:H49">
      <x:formula1>"draft,review,published,archived"</x:formula1>
    </x:dataValidation>
    <x:dataValidation type="list" sqref="BL2:BL49">
      <x:formula1>"verified,needs_review,source_only,rejected"</x:formula1>
    </x:dataValidation>
    <x:dataValidation type="list" sqref="AD2:AD49">
      <x:formula1>"verified,needs_review,source_only,rejected"</x:formula1>
    </x:dataValidation>
    <x:dataValidation type="list" sqref="AL2:AL49">
      <x:formula1>"verified,needs_review,source_only,rejected"</x:formula1>
    </x:dataValidation>
    <x:dataValidation type="list" sqref="AT2:AT49">
      <x:formula1>"verified,needs_review,source_only,rejected"</x:formula1>
    </x:dataValidation>
    <x:dataValidation type="list" sqref="K2:K49">
      <x:formula1>"metric,imperial"</x:formula1>
    </x:dataValidation>
    <x:dataValidation type="list" sqref="AQ2:AQ49">
      <x:formula1>"B,F,G,J,K,L,M"</x:formula1>
    </x:dataValidation>
    <x:dataValidation type="list" sqref="O2:O49">
      <x:formula1>"R"</x:formula1>
    </x:dataValidation>
    <x:dataValidation type="list" sqref="BA2:BA49">
      <x:formula1>"TRUE,FALSE"</x:formula1>
    </x:dataValidation>
    <x:dataValidation type="list" sqref="BB2:BB49">
      <x:formula1>"TRUE,FALSE"</x:formula1>
    </x:dataValidation>
    <x:dataValidation type="list" sqref="BC2:BC49">
      <x:formula1>"TRUE,FALSE"</x:formula1>
    </x:dataValidation>
    <x:dataValidation type="list" sqref="BD2:BD49">
      <x:formula1>"TRUE,FALSE"</x:formula1>
    </x:dataValidation>
    <x:dataValidation type="list" sqref="BF2:BF49">
      <x:formula1>"TRUE,FALSE"</x:formula1>
    </x:dataValidation>
    <x:dataValidation type="list" sqref="BO2:BO49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2d45c88d3a64a4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7" hidden="0" customWidth="1"/>
    <x:col min="3" max="3" width="10" hidden="0" customWidth="1"/>
    <x:col min="4" max="4" width="12" hidden="0" customWidth="1"/>
    <x:col min="5" max="5" width="20" hidden="0" customWidth="1"/>
    <x:col min="6" max="6" width="26" hidden="0" customWidth="1"/>
    <x:col min="7" max="7" width="28" hidden="0" customWidth="1"/>
    <x:col min="8" max="8" width="21" hidden="0" customWidth="1"/>
    <x:col min="9" max="9" width="28" hidden="0" customWidth="1"/>
    <x:col min="10" max="10" width="11" hidden="0" customWidth="1"/>
    <x:col min="11" max="11" width="10" hidden="0" customWidth="1"/>
    <x:col min="12" max="12" width="20" hidden="0" customWidth="1"/>
    <x:col min="13" max="13" width="12" hidden="0" customWidth="1"/>
    <x:col min="14" max="14" width="14" hidden="0" customWidth="1"/>
    <x:col min="15" max="15" width="28" hidden="0" customWidth="1"/>
  </x:cols>
  <x:sheetData>
    <x:row r="1" ht="34" customHeight="1">
      <x:c r="A1" s="17" t="str">
        <x:v>feature_record_id</x:v>
      </x:c>
      <x:c r="B1" s="17" t="str">
        <x:v>model_id</x:v>
      </x:c>
      <x:c r="C1" s="17" t="str">
        <x:v>model_code</x:v>
      </x:c>
      <x:c r="D1" s="17" t="str">
        <x:v>feature_order</x:v>
      </x:c>
      <x:c r="E1" s="17" t="str">
        <x:v>feature_key</x:v>
      </x:c>
      <x:c r="F1" s="17" t="str">
        <x:v>feature_title_ru</x:v>
      </x:c>
      <x:c r="G1" s="17" t="str">
        <x:v>feature_description_ru</x:v>
      </x:c>
      <x:c r="H1" s="17" t="str">
        <x:v>feature_title_en_source</x:v>
      </x:c>
      <x:c r="I1" s="17" t="str">
        <x:v>feature_description_en_source</x:v>
      </x:c>
      <x:c r="J1" s="17" t="str">
        <x:v>feature_type</x:v>
      </x:c>
      <x:c r="K1" s="17" t="str">
        <x:v>filterable</x:v>
      </x:c>
      <x:c r="L1" s="17" t="str">
        <x:v>technical_claim_status</x:v>
      </x:c>
      <x:c r="M1" s="17" t="str">
        <x:v>source_page</x:v>
      </x:c>
      <x:c r="N1" s="17" t="str">
        <x:v>source_verified</x:v>
      </x:c>
      <x:c r="O1" s="17" t="str">
        <x:v>notes</x:v>
      </x:c>
    </x:row>
    <x:row r="2">
      <x:c r="A2" s="18" t="str">
        <x:v>BIZON-FEAT-DLA968-01</x:v>
      </x:c>
      <x:c r="B2" s="18" t="str">
        <x:v>BIZON-MODEL-DLA968</x:v>
      </x:c>
      <x:c r="C2" s="18" t="str">
        <x:v>DLA968</x:v>
      </x:c>
      <x:c r="D2" s="18" t="n">
        <x:v>1</x:v>
      </x:c>
      <x:c r="E2" s="18" t="str">
        <x:v>high-mileage</x:v>
      </x:c>
      <x:c r="F2" s="18" t="str">
        <x:v>Высокий пробег</x:v>
      </x:c>
      <x:c r="G2" s="18" t="str">
        <x:v>Редакционный перевод: Wide tread width offers high pattern volume which results into a high mileage performance.</x:v>
      </x:c>
      <x:c r="H2" s="19" t="str">
        <x:v>High mileage</x:v>
      </x:c>
      <x:c r="I2" s="19" t="str">
        <x:v>Wide tread width offers high pattern volume which results into a high mileage performance.</x:v>
      </x:c>
      <x:c r="J2" s="18" t="str">
        <x:v>performance</x:v>
      </x:c>
      <x:c r="K2" s="28" t="b">
        <x:v>1</x:v>
      </x:c>
      <x:c r="L2" s="18" t="str">
        <x:v>source_only</x:v>
      </x:c>
      <x:c r="M2" s="19" t="n">
        <x:v>4</x:v>
      </x:c>
      <x:c r="N2" s="29" t="b">
        <x:v>1</x:v>
      </x:c>
      <x:c r="O2" s="19" t="str">
        <x:v>Английский текст перенесён/нормализован по товарному блоку; русский текст требует редакторской проверки.</x:v>
      </x:c>
    </x:row>
    <x:row r="3">
      <x:c r="A3" s="20" t="str">
        <x:v>BIZON-FEAT-DLA968-02</x:v>
      </x:c>
      <x:c r="B3" s="20" t="str">
        <x:v>BIZON-MODEL-DLA968</x:v>
      </x:c>
      <x:c r="C3" s="20" t="str">
        <x:v>DLA968</x:v>
      </x:c>
      <x:c r="D3" s="20" t="n">
        <x:v>2</x:v>
      </x:c>
      <x:c r="E3" s="20" t="str">
        <x:v>handling</x:v>
      </x:c>
      <x:c r="F3" s="20" t="str">
        <x:v>Управляемость</x:v>
      </x:c>
      <x:c r="G3" s="20" t="str">
        <x:v>Редакционный перевод: Optimal linear grooves with waved walls for maximum steering performance and irregular wear resistance.</x:v>
      </x:c>
      <x:c r="H3" s="19" t="str">
        <x:v>Handling</x:v>
      </x:c>
      <x:c r="I3" s="19" t="str">
        <x:v>Optimal linear grooves with waved walls for maximum steering performance and irregular wear resistance.</x:v>
      </x:c>
      <x:c r="J3" s="20" t="str">
        <x:v>performance</x:v>
      </x:c>
      <x:c r="K3" s="31" t="b">
        <x:v>1</x:v>
      </x:c>
      <x:c r="L3" s="20" t="str">
        <x:v>source_only</x:v>
      </x:c>
      <x:c r="M3" s="19" t="n">
        <x:v>4</x:v>
      </x:c>
      <x:c r="N3" s="29" t="b">
        <x:v>1</x:v>
      </x:c>
      <x:c r="O3" s="19" t="str">
        <x:v>Английский текст перенесён/нормализован по товарному блоку; русский текст требует редакторской проверки.</x:v>
      </x:c>
    </x:row>
    <x:row r="4">
      <x:c r="A4" s="18" t="str">
        <x:v>BIZON-FEAT-DLA968-03</x:v>
      </x:c>
      <x:c r="B4" s="18" t="str">
        <x:v>BIZON-MODEL-DLA968</x:v>
      </x:c>
      <x:c r="C4" s="18" t="str">
        <x:v>DLA968</x:v>
      </x:c>
      <x:c r="D4" s="18" t="n">
        <x:v>3</x:v>
      </x:c>
      <x:c r="E4" s="18" t="str">
        <x:v>anti-wear</x:v>
      </x:c>
      <x:c r="F4" s="18" t="str">
        <x:v>Износостойкость</x:v>
      </x:c>
      <x:c r="G4" s="18" t="str">
        <x:v>Редакционный перевод: Unique tread design and compound provide longer mileage and reduce uneven wear.</x:v>
      </x:c>
      <x:c r="H4" s="19" t="str">
        <x:v>Anti-wear</x:v>
      </x:c>
      <x:c r="I4" s="19" t="str">
        <x:v>Unique tread design and compound provide longer mileage and reduce uneven wear.</x:v>
      </x:c>
      <x:c r="J4" s="18" t="str">
        <x:v>performance</x:v>
      </x:c>
      <x:c r="K4" s="28" t="b">
        <x:v>1</x:v>
      </x:c>
      <x:c r="L4" s="18" t="str">
        <x:v>source_only</x:v>
      </x:c>
      <x:c r="M4" s="19" t="n">
        <x:v>4</x:v>
      </x:c>
      <x:c r="N4" s="29" t="b">
        <x:v>1</x:v>
      </x:c>
      <x:c r="O4" s="19" t="str">
        <x:v>Английский текст перенесён/нормализован по товарному блоку; русский текст требует редакторской проверки.</x:v>
      </x:c>
    </x:row>
    <x:row r="5">
      <x:c r="A5" s="20" t="str">
        <x:v>BIZON-FEAT-DSR266-01</x:v>
      </x:c>
      <x:c r="B5" s="20" t="str">
        <x:v>BIZON-MODEL-DSR266</x:v>
      </x:c>
      <x:c r="C5" s="20" t="str">
        <x:v>DSR266</x:v>
      </x:c>
      <x:c r="D5" s="20" t="n">
        <x:v>1</x:v>
      </x:c>
      <x:c r="E5" s="20" t="str">
        <x:v>heat-dissipation</x:v>
      </x:c>
      <x:c r="F5" s="20" t="str">
        <x:v>Теплоотвод</x:v>
      </x:c>
      <x:c r="G5" s="20" t="str">
        <x:v>Редакционный перевод: Three zig-zag longitudinal pattern grooves, combined with crack pattern, provide good wet resistance and good heat dispersion.</x:v>
      </x:c>
      <x:c r="H5" s="19" t="str">
        <x:v>Heat dissipation</x:v>
      </x:c>
      <x:c r="I5" s="19" t="str">
        <x:v>Three zig-zag longitudinal pattern grooves, combined with crack pattern, provide good wet resistance and good heat dispersion.</x:v>
      </x:c>
      <x:c r="J5" s="20" t="str">
        <x:v>technical</x:v>
      </x:c>
      <x:c r="K5" s="31" t="b">
        <x:v>1</x:v>
      </x:c>
      <x:c r="L5" s="20" t="str">
        <x:v>source_only</x:v>
      </x:c>
      <x:c r="M5" s="19" t="n">
        <x:v>4</x:v>
      </x:c>
      <x:c r="N5" s="29" t="b">
        <x:v>1</x:v>
      </x:c>
      <x:c r="O5" s="19" t="str">
        <x:v>Английский текст перенесён/нормализован по товарному блоку; русский текст требует редакторской проверки.</x:v>
      </x:c>
    </x:row>
    <x:row r="6">
      <x:c r="A6" s="18" t="str">
        <x:v>BIZON-FEAT-DSR266-02</x:v>
      </x:c>
      <x:c r="B6" s="18" t="str">
        <x:v>BIZON-MODEL-DSR266</x:v>
      </x:c>
      <x:c r="C6" s="18" t="str">
        <x:v>DSR266</x:v>
      </x:c>
      <x:c r="D6" s="18" t="n">
        <x:v>2</x:v>
      </x:c>
      <x:c r="E6" s="18" t="str">
        <x:v>handling</x:v>
      </x:c>
      <x:c r="F6" s="18" t="str">
        <x:v>Управляемость</x:v>
      </x:c>
      <x:c r="G6" s="18" t="str">
        <x:v>Редакционный перевод: Enclosed tire shoulder design provides good steering performance.</x:v>
      </x:c>
      <x:c r="H6" s="19" t="str">
        <x:v>Handling</x:v>
      </x:c>
      <x:c r="I6" s="19" t="str">
        <x:v>Enclosed tire shoulder design provides good steering performance.</x:v>
      </x:c>
      <x:c r="J6" s="18" t="str">
        <x:v>performance</x:v>
      </x:c>
      <x:c r="K6" s="28" t="b">
        <x:v>1</x:v>
      </x:c>
      <x:c r="L6" s="18" t="str">
        <x:v>source_only</x:v>
      </x:c>
      <x:c r="M6" s="19" t="n">
        <x:v>4</x:v>
      </x:c>
      <x:c r="N6" s="29" t="b">
        <x:v>1</x:v>
      </x:c>
      <x:c r="O6" s="19" t="str">
        <x:v>Английский текст перенесён/нормализован по товарному блоку; русский текст требует редакторской проверки.</x:v>
      </x:c>
    </x:row>
    <x:row r="7">
      <x:c r="A7" s="20" t="str">
        <x:v>BIZON-FEAT-DSR266-03</x:v>
      </x:c>
      <x:c r="B7" s="20" t="str">
        <x:v>BIZON-MODEL-DSR266</x:v>
      </x:c>
      <x:c r="C7" s="20" t="str">
        <x:v>DSR266</x:v>
      </x:c>
      <x:c r="D7" s="20" t="n">
        <x:v>3</x:v>
      </x:c>
      <x:c r="E7" s="20" t="str">
        <x:v>high-mileage</x:v>
      </x:c>
      <x:c r="F7" s="20" t="str">
        <x:v>Высокий пробег</x:v>
      </x:c>
      <x:c r="G7" s="20" t="str">
        <x:v>Редакционный перевод: Using high anti-wear and low heat generation rubber compound ensure long mileage and high fuel efficiency.</x:v>
      </x:c>
      <x:c r="H7" s="19" t="str">
        <x:v>High mileage</x:v>
      </x:c>
      <x:c r="I7" s="19" t="str">
        <x:v>Using high anti-wear and low heat generation rubber compound ensure long mileage and high fuel efficiency.</x:v>
      </x:c>
      <x:c r="J7" s="20" t="str">
        <x:v>performance</x:v>
      </x:c>
      <x:c r="K7" s="31" t="b">
        <x:v>1</x:v>
      </x:c>
      <x:c r="L7" s="20" t="str">
        <x:v>source_only</x:v>
      </x:c>
      <x:c r="M7" s="19" t="n">
        <x:v>4</x:v>
      </x:c>
      <x:c r="N7" s="29" t="b">
        <x:v>1</x:v>
      </x:c>
      <x:c r="O7" s="19" t="str">
        <x:v>Английский текст перенесён/нормализован по товарному блоку; русский текст требует редакторской проверки.</x:v>
      </x:c>
    </x:row>
    <x:row r="8">
      <x:c r="A8" s="18" t="str">
        <x:v>BIZON-FEAT-DLD816-01</x:v>
      </x:c>
      <x:c r="B8" s="18" t="str">
        <x:v>BIZON-MODEL-DLD816</x:v>
      </x:c>
      <x:c r="C8" s="18" t="str">
        <x:v>DLD816</x:v>
      </x:c>
      <x:c r="D8" s="18" t="n">
        <x:v>1</x:v>
      </x:c>
      <x:c r="E8" s="18" t="str">
        <x:v>wet-grip</x:v>
      </x:c>
      <x:c r="F8" s="18" t="str">
        <x:v>Сцепление на мокрой дороге</x:v>
      </x:c>
      <x:c r="G8" s="18" t="str">
        <x:v>Редакционный перевод: Combination structure of rib and 6 angle block pattern ensure high traction, improve wet and snow grip performance in diverse conditions.</x:v>
      </x:c>
      <x:c r="H8" s="19" t="str">
        <x:v>Wet grip</x:v>
      </x:c>
      <x:c r="I8" s="19" t="str">
        <x:v>Combination structure of rib and 6 angle block pattern ensure high traction, improve wet and snow grip performance in diverse conditions.</x:v>
      </x:c>
      <x:c r="J8" s="18" t="str">
        <x:v>performance</x:v>
      </x:c>
      <x:c r="K8" s="28" t="b">
        <x:v>1</x:v>
      </x:c>
      <x:c r="L8" s="18" t="str">
        <x:v>source_only</x:v>
      </x:c>
      <x:c r="M8" s="19" t="n">
        <x:v>4</x:v>
      </x:c>
      <x:c r="N8" s="29" t="b">
        <x:v>1</x:v>
      </x:c>
      <x:c r="O8" s="19" t="str">
        <x:v>Английский текст перенесён/нормализован по товарному блоку; русский текст требует редакторской проверки.</x:v>
      </x:c>
    </x:row>
    <x:row r="9">
      <x:c r="A9" s="20" t="str">
        <x:v>BIZON-FEAT-DLD816-02</x:v>
      </x:c>
      <x:c r="B9" s="20" t="str">
        <x:v>BIZON-MODEL-DLD816</x:v>
      </x:c>
      <x:c r="C9" s="20" t="str">
        <x:v>DLD816</x:v>
      </x:c>
      <x:c r="D9" s="20" t="n">
        <x:v>2</x:v>
      </x:c>
      <x:c r="E9" s="20" t="str">
        <x:v>anti-wear</x:v>
      </x:c>
      <x:c r="F9" s="20" t="str">
        <x:v>Износостойкость</x:v>
      </x:c>
      <x:c r="G9" s="20" t="str">
        <x:v>Редакционный перевод: Wide and squared tread footprint to ensure even wear.</x:v>
      </x:c>
      <x:c r="H9" s="19" t="str">
        <x:v>Anti-wear</x:v>
      </x:c>
      <x:c r="I9" s="19" t="str">
        <x:v>Wide and squared tread footprint to ensure even wear.</x:v>
      </x:c>
      <x:c r="J9" s="20" t="str">
        <x:v>performance</x:v>
      </x:c>
      <x:c r="K9" s="31" t="b">
        <x:v>1</x:v>
      </x:c>
      <x:c r="L9" s="20" t="str">
        <x:v>source_only</x:v>
      </x:c>
      <x:c r="M9" s="19" t="n">
        <x:v>4</x:v>
      </x:c>
      <x:c r="N9" s="29" t="b">
        <x:v>1</x:v>
      </x:c>
      <x:c r="O9" s="19" t="str">
        <x:v>Английский текст перенесён/нормализован по товарному блоку; русский текст требует редакторской проверки.</x:v>
      </x:c>
    </x:row>
    <x:row r="10">
      <x:c r="A10" s="18" t="str">
        <x:v>BIZON-FEAT-DLD816-03</x:v>
      </x:c>
      <x:c r="B10" s="18" t="str">
        <x:v>BIZON-MODEL-DLD816</x:v>
      </x:c>
      <x:c r="C10" s="18" t="str">
        <x:v>DLD816</x:v>
      </x:c>
      <x:c r="D10" s="18" t="n">
        <x:v>3</x:v>
      </x:c>
      <x:c r="E10" s="18" t="str">
        <x:v>high-mileage</x:v>
      </x:c>
      <x:c r="F10" s="18" t="str">
        <x:v>Высокий пробег</x:v>
      </x:c>
      <x:c r="G10" s="18" t="str">
        <x:v>Редакционный перевод: 3-Dimensional Sipe delivers excellent mileage and traction performance with reduced irregular wear which enhances fuel efficiency.</x:v>
      </x:c>
      <x:c r="H10" s="19" t="str">
        <x:v>High mileage</x:v>
      </x:c>
      <x:c r="I10" s="19" t="str">
        <x:v>3-Dimensional Sipe delivers excellent mileage and traction performance with reduced irregular wear which enhances fuel efficiency.</x:v>
      </x:c>
      <x:c r="J10" s="18" t="str">
        <x:v>performance</x:v>
      </x:c>
      <x:c r="K10" s="28" t="b">
        <x:v>1</x:v>
      </x:c>
      <x:c r="L10" s="18" t="str">
        <x:v>source_only</x:v>
      </x:c>
      <x:c r="M10" s="19" t="n">
        <x:v>4</x:v>
      </x:c>
      <x:c r="N10" s="29" t="b">
        <x:v>1</x:v>
      </x:c>
      <x:c r="O10" s="19" t="str">
        <x:v>Английский текст перенесён/нормализован по товарному блоку; русский текст требует редакторской проверки.</x:v>
      </x:c>
    </x:row>
    <x:row r="11">
      <x:c r="A11" s="20" t="str">
        <x:v>BIZON-FEAT-DSR08A-01</x:v>
      </x:c>
      <x:c r="B11" s="20" t="str">
        <x:v>BIZON-MODEL-DSR08A</x:v>
      </x:c>
      <x:c r="C11" s="20" t="str">
        <x:v>DSR08A</x:v>
      </x:c>
      <x:c r="D11" s="20" t="n">
        <x:v>1</x:v>
      </x:c>
      <x:c r="E11" s="20" t="str">
        <x:v>wet-grip</x:v>
      </x:c>
      <x:c r="F11" s="20" t="str">
        <x:v>Сцепление на мокрой дороге</x:v>
      </x:c>
      <x:c r="G11" s="20" t="str">
        <x:v>Редакционный перевод: All-season pattern design, excellent driving, braking and anti-skid performance in rainy and snowy weather.</x:v>
      </x:c>
      <x:c r="H11" s="19" t="str">
        <x:v>Wet grip</x:v>
      </x:c>
      <x:c r="I11" s="19" t="str">
        <x:v>All-season pattern design, excellent driving, braking and anti-skid performance in rainy and snowy weather.</x:v>
      </x:c>
      <x:c r="J11" s="20" t="str">
        <x:v>performance</x:v>
      </x:c>
      <x:c r="K11" s="31" t="b">
        <x:v>1</x:v>
      </x:c>
      <x:c r="L11" s="20" t="str">
        <x:v>source_only</x:v>
      </x:c>
      <x:c r="M11" s="19" t="n">
        <x:v>4</x:v>
      </x:c>
      <x:c r="N11" s="29" t="b">
        <x:v>1</x:v>
      </x:c>
      <x:c r="O11" s="19" t="str">
        <x:v>Английский текст перенесён/нормализован по товарному блоку; русский текст требует редакторской проверки.</x:v>
      </x:c>
    </x:row>
    <x:row r="12">
      <x:c r="A12" s="18" t="str">
        <x:v>BIZON-FEAT-DSR08A-02</x:v>
      </x:c>
      <x:c r="B12" s="18" t="str">
        <x:v>BIZON-MODEL-DSR08A</x:v>
      </x:c>
      <x:c r="C12" s="18" t="str">
        <x:v>DSR08A</x:v>
      </x:c>
      <x:c r="D12" s="18" t="n">
        <x:v>2</x:v>
      </x:c>
      <x:c r="E12" s="18" t="str">
        <x:v>heavy-load</x:v>
      </x:c>
      <x:c r="F12" s="18" t="str">
        <x:v>Высокая грузоподъёмность</x:v>
      </x:c>
      <x:c r="G12" s="18" t="str">
        <x:v>Редакционный перевод: Reinforced bead design improves the tire's loading capacity.</x:v>
      </x:c>
      <x:c r="H12" s="19" t="str">
        <x:v>Heavy load</x:v>
      </x:c>
      <x:c r="I12" s="19" t="str">
        <x:v>Reinforced bead design improves the tire's loading capacity.</x:v>
      </x:c>
      <x:c r="J12" s="18" t="str">
        <x:v>technical</x:v>
      </x:c>
      <x:c r="K12" s="28" t="b">
        <x:v>1</x:v>
      </x:c>
      <x:c r="L12" s="18" t="str">
        <x:v>source_only</x:v>
      </x:c>
      <x:c r="M12" s="19" t="n">
        <x:v>4</x:v>
      </x:c>
      <x:c r="N12" s="29" t="b">
        <x:v>1</x:v>
      </x:c>
      <x:c r="O12" s="19" t="str">
        <x:v>Английский текст перенесён/нормализован по товарному блоку; русский текст требует редакторской проверки.</x:v>
      </x:c>
    </x:row>
    <x:row r="13">
      <x:c r="A13" s="20" t="str">
        <x:v>BIZON-FEAT-DSR08A-03</x:v>
      </x:c>
      <x:c r="B13" s="20" t="str">
        <x:v>BIZON-MODEL-DSR08A</x:v>
      </x:c>
      <x:c r="C13" s="20" t="str">
        <x:v>DSR08A</x:v>
      </x:c>
      <x:c r="D13" s="20" t="n">
        <x:v>3</x:v>
      </x:c>
      <x:c r="E13" s="20" t="str">
        <x:v>anti-wear</x:v>
      </x:c>
      <x:c r="F13" s="20" t="str">
        <x:v>Износостойкость</x:v>
      </x:c>
      <x:c r="G13" s="20" t="str">
        <x:v>Редакционный перевод: Anti-wear carbon black and anti-tearing resin make the rubber more resilient.</x:v>
      </x:c>
      <x:c r="H13" s="19" t="str">
        <x:v>Anti-wear</x:v>
      </x:c>
      <x:c r="I13" s="19" t="str">
        <x:v>Anti-wear carbon black and anti-tearing resin make the rubber more resilient.</x:v>
      </x:c>
      <x:c r="J13" s="20" t="str">
        <x:v>performance</x:v>
      </x:c>
      <x:c r="K13" s="31" t="b">
        <x:v>1</x:v>
      </x:c>
      <x:c r="L13" s="20" t="str">
        <x:v>source_only</x:v>
      </x:c>
      <x:c r="M13" s="19" t="n">
        <x:v>4</x:v>
      </x:c>
      <x:c r="N13" s="29" t="b">
        <x:v>1</x:v>
      </x:c>
      <x:c r="O13" s="19" t="str">
        <x:v>Английский текст перенесён/нормализован по товарному блоку; русский текст требует редакторской проверки.</x:v>
      </x:c>
    </x:row>
    <x:row r="14">
      <x:c r="A14" s="18" t="str">
        <x:v>BIZON-FEAT-DMS100-01</x:v>
      </x:c>
      <x:c r="B14" s="18" t="str">
        <x:v>BIZON-MODEL-DMS100</x:v>
      </x:c>
      <x:c r="C14" s="18" t="str">
        <x:v>DMS100</x:v>
      </x:c>
      <x:c r="D14" s="18" t="n">
        <x:v>1</x:v>
      </x:c>
      <x:c r="E14" s="18" t="str">
        <x:v>handling</x:v>
      </x:c>
      <x:c r="F14" s="18" t="str">
        <x:v>Управляемость</x:v>
      </x:c>
      <x:c r="G14" s="18" t="str">
        <x:v>Редакционный перевод: New vertical pattern designing provides excellent handling and driving comfort.</x:v>
      </x:c>
      <x:c r="H14" s="19" t="str">
        <x:v>Handling</x:v>
      </x:c>
      <x:c r="I14" s="19" t="str">
        <x:v>New vertical pattern designing provides excellent handling and driving comfort.</x:v>
      </x:c>
      <x:c r="J14" s="18" t="str">
        <x:v>performance</x:v>
      </x:c>
      <x:c r="K14" s="28" t="b">
        <x:v>1</x:v>
      </x:c>
      <x:c r="L14" s="18" t="str">
        <x:v>source_only</x:v>
      </x:c>
      <x:c r="M14" s="19" t="n">
        <x:v>5</x:v>
      </x:c>
      <x:c r="N14" s="29" t="b">
        <x:v>1</x:v>
      </x:c>
      <x:c r="O14" s="19" t="str">
        <x:v>Английский текст перенесён/нормализован по товарному блоку; русский текст требует редакторской проверки.</x:v>
      </x:c>
    </x:row>
    <x:row r="15">
      <x:c r="A15" s="20" t="str">
        <x:v>BIZON-FEAT-DMS100-02</x:v>
      </x:c>
      <x:c r="B15" s="20" t="str">
        <x:v>BIZON-MODEL-DMS100</x:v>
      </x:c>
      <x:c r="C15" s="20" t="str">
        <x:v>DMS100</x:v>
      </x:c>
      <x:c r="D15" s="20" t="n">
        <x:v>2</x:v>
      </x:c>
      <x:c r="E15" s="20" t="str">
        <x:v>high-mileage</x:v>
      </x:c>
      <x:c r="F15" s="20" t="str">
        <x:v>Высокий пробег</x:v>
      </x:c>
      <x:c r="G15" s="20" t="str">
        <x:v>Редакционный перевод: Extra-wide tread blocks and deep grooves ensure ultra high mileage and driving stability.</x:v>
      </x:c>
      <x:c r="H15" s="19" t="str">
        <x:v>High mileage</x:v>
      </x:c>
      <x:c r="I15" s="19" t="str">
        <x:v>Extra-wide tread blocks and deep grooves ensure ultra high mileage and driving stability.</x:v>
      </x:c>
      <x:c r="J15" s="20" t="str">
        <x:v>performance</x:v>
      </x:c>
      <x:c r="K15" s="31" t="b">
        <x:v>1</x:v>
      </x:c>
      <x:c r="L15" s="20" t="str">
        <x:v>source_only</x:v>
      </x:c>
      <x:c r="M15" s="19" t="n">
        <x:v>5</x:v>
      </x:c>
      <x:c r="N15" s="29" t="b">
        <x:v>1</x:v>
      </x:c>
      <x:c r="O15" s="19" t="str">
        <x:v>Английский текст перенесён/нормализован по товарному блоку; русский текст требует редакторской проверки.</x:v>
      </x:c>
    </x:row>
    <x:row r="16">
      <x:c r="A16" s="18" t="str">
        <x:v>BIZON-FEAT-DMS100-03</x:v>
      </x:c>
      <x:c r="B16" s="18" t="str">
        <x:v>BIZON-MODEL-DMS100</x:v>
      </x:c>
      <x:c r="C16" s="18" t="str">
        <x:v>DMS100</x:v>
      </x:c>
      <x:c r="D16" s="18" t="n">
        <x:v>3</x:v>
      </x:c>
      <x:c r="E16" s="18" t="str">
        <x:v>stone-ejection</x:v>
      </x:c>
      <x:c r="F16" s="18" t="str">
        <x:v>Удаление камней</x:v>
      </x:c>
      <x:c r="G16" s="18" t="str">
        <x:v>Редакционный перевод: The bottom of the groove is reinforced with small ribs to reduce stone retention and protect the tire casing.</x:v>
      </x:c>
      <x:c r="H16" s="19" t="str">
        <x:v>Stone ejection</x:v>
      </x:c>
      <x:c r="I16" s="19" t="str">
        <x:v>The bottom of the groove is reinforced with small ribs to reduce stone retention and protect the tire casing.</x:v>
      </x:c>
      <x:c r="J16" s="18" t="str">
        <x:v>performance</x:v>
      </x:c>
      <x:c r="K16" s="28" t="b">
        <x:v>1</x:v>
      </x:c>
      <x:c r="L16" s="18" t="str">
        <x:v>source_only</x:v>
      </x:c>
      <x:c r="M16" s="19" t="n">
        <x:v>5</x:v>
      </x:c>
      <x:c r="N16" s="29" t="b">
        <x:v>1</x:v>
      </x:c>
      <x:c r="O16" s="19" t="str">
        <x:v>Английский текст перенесён/нормализован по товарному блоку; русский текст требует редакторской проверки.</x:v>
      </x:c>
    </x:row>
    <x:row r="17">
      <x:c r="A17" s="20" t="str">
        <x:v>BIZON-FEAT-DLS918-01</x:v>
      </x:c>
      <x:c r="B17" s="20" t="str">
        <x:v>BIZON-MODEL-DLS918</x:v>
      </x:c>
      <x:c r="C17" s="20" t="str">
        <x:v>DLS918</x:v>
      </x:c>
      <x:c r="D17" s="20" t="n">
        <x:v>1</x:v>
      </x:c>
      <x:c r="E17" s="20" t="str">
        <x:v>handling</x:v>
      </x:c>
      <x:c r="F17" s="20" t="str">
        <x:v>Управляемость</x:v>
      </x:c>
      <x:c r="G17" s="20" t="str">
        <x:v>Редакционный перевод: Longitudinal pattern and lateral fine groove design provide excellent handling stability and anti-skid performance.</x:v>
      </x:c>
      <x:c r="H17" s="19" t="str">
        <x:v>Handling</x:v>
      </x:c>
      <x:c r="I17" s="19" t="str">
        <x:v>Longitudinal pattern and lateral fine groove design provide excellent handling stability and anti-skid performance.</x:v>
      </x:c>
      <x:c r="J17" s="20" t="str">
        <x:v>performance</x:v>
      </x:c>
      <x:c r="K17" s="31" t="b">
        <x:v>1</x:v>
      </x:c>
      <x:c r="L17" s="20" t="str">
        <x:v>source_only</x:v>
      </x:c>
      <x:c r="M17" s="19" t="n">
        <x:v>5</x:v>
      </x:c>
      <x:c r="N17" s="29" t="b">
        <x:v>1</x:v>
      </x:c>
      <x:c r="O17" s="19" t="str">
        <x:v>Английский текст перенесён/нормализован по товарному блоку; русский текст требует редакторской проверки.</x:v>
      </x:c>
    </x:row>
    <x:row r="18">
      <x:c r="A18" s="18" t="str">
        <x:v>BIZON-FEAT-DLS918-02</x:v>
      </x:c>
      <x:c r="B18" s="18" t="str">
        <x:v>BIZON-MODEL-DLS918</x:v>
      </x:c>
      <x:c r="C18" s="18" t="str">
        <x:v>DLS918</x:v>
      </x:c>
      <x:c r="D18" s="18" t="n">
        <x:v>2</x:v>
      </x:c>
      <x:c r="E18" s="18" t="str">
        <x:v>high-mileage</x:v>
      </x:c>
      <x:c r="F18" s="18" t="str">
        <x:v>Высокий пробег</x:v>
      </x:c>
      <x:c r="G18" s="18" t="str">
        <x:v>Редакционный перевод: The optimized ground profile and groove distribution provide balanced ground pressure and long service life.</x:v>
      </x:c>
      <x:c r="H18" s="19" t="str">
        <x:v>High mileage</x:v>
      </x:c>
      <x:c r="I18" s="19" t="str">
        <x:v>The optimized ground profile and groove distribution provide balanced ground pressure and long service life.</x:v>
      </x:c>
      <x:c r="J18" s="18" t="str">
        <x:v>performance</x:v>
      </x:c>
      <x:c r="K18" s="28" t="b">
        <x:v>1</x:v>
      </x:c>
      <x:c r="L18" s="18" t="str">
        <x:v>source_only</x:v>
      </x:c>
      <x:c r="M18" s="19" t="n">
        <x:v>5</x:v>
      </x:c>
      <x:c r="N18" s="29" t="b">
        <x:v>1</x:v>
      </x:c>
      <x:c r="O18" s="19" t="str">
        <x:v>Английский текст перенесён/нормализован по товарному блоку; русский текст требует редакторской проверки.</x:v>
      </x:c>
    </x:row>
    <x:row r="19">
      <x:c r="A19" s="20" t="str">
        <x:v>BIZON-FEAT-DLS918-03</x:v>
      </x:c>
      <x:c r="B19" s="20" t="str">
        <x:v>BIZON-MODEL-DLS918</x:v>
      </x:c>
      <x:c r="C19" s="20" t="str">
        <x:v>DLS918</x:v>
      </x:c>
      <x:c r="D19" s="20" t="n">
        <x:v>3</x:v>
      </x:c>
      <x:c r="E19" s="20" t="str">
        <x:v>stone-ejection</x:v>
      </x:c>
      <x:c r="F19" s="20" t="str">
        <x:v>Удаление камней</x:v>
      </x:c>
      <x:c r="G19" s="20" t="str">
        <x:v>Редакционный перевод: Groove bottom protectors and stone ejectors help to reduce stone drilling to extend casing life.</x:v>
      </x:c>
      <x:c r="H19" s="19" t="str">
        <x:v>Stone ejection</x:v>
      </x:c>
      <x:c r="I19" s="19" t="str">
        <x:v>Groove bottom protectors and stone ejectors help to reduce stone drilling to extend casing life.</x:v>
      </x:c>
      <x:c r="J19" s="20" t="str">
        <x:v>performance</x:v>
      </x:c>
      <x:c r="K19" s="31" t="b">
        <x:v>1</x:v>
      </x:c>
      <x:c r="L19" s="20" t="str">
        <x:v>source_only</x:v>
      </x:c>
      <x:c r="M19" s="19" t="n">
        <x:v>5</x:v>
      </x:c>
      <x:c r="N19" s="29" t="b">
        <x:v>1</x:v>
      </x:c>
      <x:c r="O19" s="19" t="str">
        <x:v>Английский текст перенесён/нормализован по товарному блоку; русский текст требует редакторской проверки.</x:v>
      </x:c>
    </x:row>
    <x:row r="20">
      <x:c r="A20" s="18" t="str">
        <x:v>BIZON-FEAT-DSR118-01</x:v>
      </x:c>
      <x:c r="B20" s="18" t="str">
        <x:v>BIZON-MODEL-DSR118</x:v>
      </x:c>
      <x:c r="C20" s="18" t="str">
        <x:v>DSR118</x:v>
      </x:c>
      <x:c r="D20" s="18" t="n">
        <x:v>1</x:v>
      </x:c>
      <x:c r="E20" s="18" t="str">
        <x:v>heavy-load</x:v>
      </x:c>
      <x:c r="F20" s="18" t="str">
        <x:v>Высокая грузоподъёмность</x:v>
      </x:c>
      <x:c r="G20" s="18" t="str">
        <x:v>Редакционный перевод: Strengthened steel belt ensures better loading capability and safety.</x:v>
      </x:c>
      <x:c r="H20" s="19" t="str">
        <x:v>Heavy load</x:v>
      </x:c>
      <x:c r="I20" s="19" t="str">
        <x:v>Strengthened steel belt ensures better loading capability and safety.</x:v>
      </x:c>
      <x:c r="J20" s="18" t="str">
        <x:v>technical</x:v>
      </x:c>
      <x:c r="K20" s="28" t="b">
        <x:v>1</x:v>
      </x:c>
      <x:c r="L20" s="18" t="str">
        <x:v>source_only</x:v>
      </x:c>
      <x:c r="M20" s="19" t="n">
        <x:v>5</x:v>
      </x:c>
      <x:c r="N20" s="29" t="b">
        <x:v>1</x:v>
      </x:c>
      <x:c r="O20" s="19" t="str">
        <x:v>Английский текст перенесён/нормализован по товарному блоку; русский текст требует редакторской проверки.</x:v>
      </x:c>
    </x:row>
    <x:row r="21">
      <x:c r="A21" s="20" t="str">
        <x:v>BIZON-FEAT-DSR118-02</x:v>
      </x:c>
      <x:c r="B21" s="20" t="str">
        <x:v>BIZON-MODEL-DSR118</x:v>
      </x:c>
      <x:c r="C21" s="20" t="str">
        <x:v>DSR118</x:v>
      </x:c>
      <x:c r="D21" s="20" t="n">
        <x:v>2</x:v>
      </x:c>
      <x:c r="E21" s="20" t="str">
        <x:v>retreadability</x:v>
      </x:c>
      <x:c r="F21" s="20" t="str">
        <x:v>Восстанавливаемость</x:v>
      </x:c>
      <x:c r="G21" s="20" t="str">
        <x:v>Редакционный перевод: High flexion carcass ensures durability and retreadability.</x:v>
      </x:c>
      <x:c r="H21" s="19" t="str">
        <x:v>Retreadability</x:v>
      </x:c>
      <x:c r="I21" s="19" t="str">
        <x:v>High flexion carcass ensures durability and retreadability.</x:v>
      </x:c>
      <x:c r="J21" s="20" t="str">
        <x:v>performance</x:v>
      </x:c>
      <x:c r="K21" s="31" t="b">
        <x:v>1</x:v>
      </x:c>
      <x:c r="L21" s="20" t="str">
        <x:v>source_only</x:v>
      </x:c>
      <x:c r="M21" s="19" t="n">
        <x:v>5</x:v>
      </x:c>
      <x:c r="N21" s="29" t="b">
        <x:v>1</x:v>
      </x:c>
      <x:c r="O21" s="19" t="str">
        <x:v>Английский текст перенесён/нормализован по товарному блоку; русский текст требует редакторской проверки.</x:v>
      </x:c>
    </x:row>
    <x:row r="22">
      <x:c r="A22" s="18" t="str">
        <x:v>BIZON-FEAT-DSR118-03</x:v>
      </x:c>
      <x:c r="B22" s="18" t="str">
        <x:v>BIZON-MODEL-DSR118</x:v>
      </x:c>
      <x:c r="C22" s="18" t="str">
        <x:v>DSR118</x:v>
      </x:c>
      <x:c r="D22" s="18" t="n">
        <x:v>3</x:v>
      </x:c>
      <x:c r="E22" s="18" t="str">
        <x:v>low-noise</x:v>
      </x:c>
      <x:c r="F22" s="18" t="str">
        <x:v>Низкий уровень шума</x:v>
      </x:c>
      <x:c r="G22" s="18" t="str">
        <x:v>Редакционный перевод: Professional low noise pattern design, excellent steering performance.</x:v>
      </x:c>
      <x:c r="H22" s="19" t="str">
        <x:v>Low noise</x:v>
      </x:c>
      <x:c r="I22" s="19" t="str">
        <x:v>Professional low noise pattern design, excellent steering performance.</x:v>
      </x:c>
      <x:c r="J22" s="18" t="str">
        <x:v>performance</x:v>
      </x:c>
      <x:c r="K22" s="28" t="b">
        <x:v>1</x:v>
      </x:c>
      <x:c r="L22" s="18" t="str">
        <x:v>source_only</x:v>
      </x:c>
      <x:c r="M22" s="19" t="n">
        <x:v>5</x:v>
      </x:c>
      <x:c r="N22" s="29" t="b">
        <x:v>1</x:v>
      </x:c>
      <x:c r="O22" s="19" t="str">
        <x:v>Английский текст перенесён/нормализован по товарному блоку; русский текст требует редакторской проверки.</x:v>
      </x:c>
    </x:row>
    <x:row r="23">
      <x:c r="A23" s="20" t="str">
        <x:v>BIZON-FEAT-DSR566-01</x:v>
      </x:c>
      <x:c r="B23" s="20" t="str">
        <x:v>BIZON-MODEL-DSR566</x:v>
      </x:c>
      <x:c r="C23" s="20" t="str">
        <x:v>DSR566</x:v>
      </x:c>
      <x:c r="D23" s="20" t="n">
        <x:v>1</x:v>
      </x:c>
      <x:c r="E23" s="20" t="str">
        <x:v>anti-wear</x:v>
      </x:c>
      <x:c r="F23" s="20" t="str">
        <x:v>Износостойкость</x:v>
      </x:c>
      <x:c r="G23" s="20" t="str">
        <x:v>Редакционный перевод: Low heat generation and super anti-wear tread provide higher fuel efficiency and longer service life.</x:v>
      </x:c>
      <x:c r="H23" s="19" t="str">
        <x:v>Anti-wear</x:v>
      </x:c>
      <x:c r="I23" s="19" t="str">
        <x:v>Low heat generation and super anti-wear tread provide higher fuel efficiency and longer service life.</x:v>
      </x:c>
      <x:c r="J23" s="20" t="str">
        <x:v>performance</x:v>
      </x:c>
      <x:c r="K23" s="31" t="b">
        <x:v>1</x:v>
      </x:c>
      <x:c r="L23" s="20" t="str">
        <x:v>source_only</x:v>
      </x:c>
      <x:c r="M23" s="19" t="n">
        <x:v>5</x:v>
      </x:c>
      <x:c r="N23" s="29" t="b">
        <x:v>1</x:v>
      </x:c>
      <x:c r="O23" s="19" t="str">
        <x:v>Английский текст перенесён/нормализован по товарному блоку; русский текст требует редакторской проверки.</x:v>
      </x:c>
    </x:row>
    <x:row r="24">
      <x:c r="A24" s="18" t="str">
        <x:v>BIZON-FEAT-DSR566-02</x:v>
      </x:c>
      <x:c r="B24" s="18" t="str">
        <x:v>BIZON-MODEL-DSR566</x:v>
      </x:c>
      <x:c r="C24" s="18" t="str">
        <x:v>DSR566</x:v>
      </x:c>
      <x:c r="D24" s="18" t="n">
        <x:v>2</x:v>
      </x:c>
      <x:c r="E24" s="18" t="str">
        <x:v>heavy-load</x:v>
      </x:c>
      <x:c r="F24" s="18" t="str">
        <x:v>Высокая грузоподъёмность</x:v>
      </x:c>
      <x:c r="G24" s="18" t="str">
        <x:v>Редакционный перевод: Reinforced bead design improves the tire's loading capacity.</x:v>
      </x:c>
      <x:c r="H24" s="19" t="str">
        <x:v>Heavy load</x:v>
      </x:c>
      <x:c r="I24" s="19" t="str">
        <x:v>Reinforced bead design improves the tire's loading capacity.</x:v>
      </x:c>
      <x:c r="J24" s="18" t="str">
        <x:v>technical</x:v>
      </x:c>
      <x:c r="K24" s="28" t="b">
        <x:v>1</x:v>
      </x:c>
      <x:c r="L24" s="18" t="str">
        <x:v>source_only</x:v>
      </x:c>
      <x:c r="M24" s="19" t="n">
        <x:v>5</x:v>
      </x:c>
      <x:c r="N24" s="29" t="b">
        <x:v>1</x:v>
      </x:c>
      <x:c r="O24" s="19" t="str">
        <x:v>Английский текст перенесён/нормализован по товарному блоку; русский текст требует редакторской проверки.</x:v>
      </x:c>
    </x:row>
    <x:row r="25">
      <x:c r="A25" s="20" t="str">
        <x:v>BIZON-FEAT-DSR566-03</x:v>
      </x:c>
      <x:c r="B25" s="20" t="str">
        <x:v>BIZON-MODEL-DSR566</x:v>
      </x:c>
      <x:c r="C25" s="20" t="str">
        <x:v>DSR566</x:v>
      </x:c>
      <x:c r="D25" s="20" t="n">
        <x:v>3</x:v>
      </x:c>
      <x:c r="E25" s="20" t="str">
        <x:v>low-noise</x:v>
      </x:c>
      <x:c r="F25" s="20" t="str">
        <x:v>Низкий уровень шума</x:v>
      </x:c>
      <x:c r="G25" s="20" t="str">
        <x:v>Редакционный перевод: Lower noise makes the driving more comfortable.</x:v>
      </x:c>
      <x:c r="H25" s="19" t="str">
        <x:v>Low noise</x:v>
      </x:c>
      <x:c r="I25" s="19" t="str">
        <x:v>Lower noise makes the driving more comfortable.</x:v>
      </x:c>
      <x:c r="J25" s="20" t="str">
        <x:v>performance</x:v>
      </x:c>
      <x:c r="K25" s="31" t="b">
        <x:v>1</x:v>
      </x:c>
      <x:c r="L25" s="20" t="str">
        <x:v>source_only</x:v>
      </x:c>
      <x:c r="M25" s="19" t="n">
        <x:v>5</x:v>
      </x:c>
      <x:c r="N25" s="29" t="b">
        <x:v>1</x:v>
      </x:c>
      <x:c r="O25" s="19" t="str">
        <x:v>Английский текст перенесён/нормализован по товарному блоку; русский текст требует редакторской проверки.</x:v>
      </x:c>
    </x:row>
    <x:row r="26">
      <x:c r="A26" s="18" t="str">
        <x:v>BIZON-FEAT-DLD815-01</x:v>
      </x:c>
      <x:c r="B26" s="18" t="str">
        <x:v>BIZON-MODEL-DLD815</x:v>
      </x:c>
      <x:c r="C26" s="18" t="str">
        <x:v>DLD815</x:v>
      </x:c>
      <x:c r="D26" s="18" t="n">
        <x:v>1</x:v>
      </x:c>
      <x:c r="E26" s="18" t="str">
        <x:v>handling</x:v>
      </x:c>
      <x:c r="F26" s="18" t="str">
        <x:v>Управляемость</x:v>
      </x:c>
      <x:c r="G26" s="18" t="str">
        <x:v>Редакционный перевод: Big block pattern ensures excellent driving and stronger traction performance.</x:v>
      </x:c>
      <x:c r="H26" s="19" t="str">
        <x:v>Handling</x:v>
      </x:c>
      <x:c r="I26" s="19" t="str">
        <x:v>Big block pattern ensures excellent driving and stronger traction performance.</x:v>
      </x:c>
      <x:c r="J26" s="18" t="str">
        <x:v>performance</x:v>
      </x:c>
      <x:c r="K26" s="28" t="b">
        <x:v>1</x:v>
      </x:c>
      <x:c r="L26" s="18" t="str">
        <x:v>source_only</x:v>
      </x:c>
      <x:c r="M26" s="19" t="n">
        <x:v>6</x:v>
      </x:c>
      <x:c r="N26" s="29" t="b">
        <x:v>1</x:v>
      </x:c>
      <x:c r="O26" s="19" t="str">
        <x:v>Английский текст перенесён/нормализован по товарному блоку; русский текст требует редакторской проверки.</x:v>
      </x:c>
    </x:row>
    <x:row r="27">
      <x:c r="A27" s="20" t="str">
        <x:v>BIZON-FEAT-DLD815-02</x:v>
      </x:c>
      <x:c r="B27" s="20" t="str">
        <x:v>BIZON-MODEL-DLD815</x:v>
      </x:c>
      <x:c r="C27" s="20" t="str">
        <x:v>DLD815</x:v>
      </x:c>
      <x:c r="D27" s="20" t="n">
        <x:v>2</x:v>
      </x:c>
      <x:c r="E27" s="20" t="str">
        <x:v>wet-grip</x:v>
      </x:c>
      <x:c r="F27" s="20" t="str">
        <x:v>Сцепление на мокрой дороге</x:v>
      </x:c>
      <x:c r="G27" s="20" t="str">
        <x:v>Редакционный перевод: The transverse wavy sipe design provides excellent wet grip performance.</x:v>
      </x:c>
      <x:c r="H27" s="19" t="str">
        <x:v>Wet grip</x:v>
      </x:c>
      <x:c r="I27" s="19" t="str">
        <x:v>The transverse wavy sipe design provides excellent wet grip performance.</x:v>
      </x:c>
      <x:c r="J27" s="20" t="str">
        <x:v>performance</x:v>
      </x:c>
      <x:c r="K27" s="31" t="b">
        <x:v>1</x:v>
      </x:c>
      <x:c r="L27" s="20" t="str">
        <x:v>source_only</x:v>
      </x:c>
      <x:c r="M27" s="19" t="n">
        <x:v>6</x:v>
      </x:c>
      <x:c r="N27" s="29" t="b">
        <x:v>1</x:v>
      </x:c>
      <x:c r="O27" s="19" t="str">
        <x:v>Английский текст перенесён/нормализован по товарному блоку; русский текст требует редакторской проверки.</x:v>
      </x:c>
    </x:row>
    <x:row r="28">
      <x:c r="A28" s="18" t="str">
        <x:v>BIZON-FEAT-DLD815-03</x:v>
      </x:c>
      <x:c r="B28" s="18" t="str">
        <x:v>BIZON-MODEL-DLD815</x:v>
      </x:c>
      <x:c r="C28" s="18" t="str">
        <x:v>DLD815</x:v>
      </x:c>
      <x:c r="D28" s="18" t="n">
        <x:v>3</x:v>
      </x:c>
      <x:c r="E28" s="18" t="str">
        <x:v>heat-dissipation</x:v>
      </x:c>
      <x:c r="F28" s="18" t="str">
        <x:v>Теплоотвод</x:v>
      </x:c>
      <x:c r="G28" s="18" t="str">
        <x:v>Редакционный перевод: The open shoulder design ensures better heat dissipation.</x:v>
      </x:c>
      <x:c r="H28" s="19" t="str">
        <x:v>Heat dissipation</x:v>
      </x:c>
      <x:c r="I28" s="19" t="str">
        <x:v>The open shoulder design ensures better heat dissipation.</x:v>
      </x:c>
      <x:c r="J28" s="18" t="str">
        <x:v>technical</x:v>
      </x:c>
      <x:c r="K28" s="28" t="b">
        <x:v>1</x:v>
      </x:c>
      <x:c r="L28" s="18" t="str">
        <x:v>source_only</x:v>
      </x:c>
      <x:c r="M28" s="19" t="n">
        <x:v>6</x:v>
      </x:c>
      <x:c r="N28" s="29" t="b">
        <x:v>1</x:v>
      </x:c>
      <x:c r="O28" s="19" t="str">
        <x:v>Английский текст перенесён/нормализован по товарному блоку; русский текст требует редакторской проверки.</x:v>
      </x:c>
    </x:row>
    <x:row r="29">
      <x:c r="A29" s="20" t="str">
        <x:v>BIZON-FEAT-DWD100-01</x:v>
      </x:c>
      <x:c r="B29" s="20" t="str">
        <x:v>BIZON-MODEL-DWD100</x:v>
      </x:c>
      <x:c r="C29" s="20" t="str">
        <x:v>DWD100</x:v>
      </x:c>
      <x:c r="D29" s="20" t="n">
        <x:v>1</x:v>
      </x:c>
      <x:c r="E29" s="20" t="str">
        <x:v>handling</x:v>
      </x:c>
      <x:c r="F29" s="20" t="str">
        <x:v>Управляемость</x:v>
      </x:c>
      <x:c r="G29" s="20" t="str">
        <x:v>Редакционный перевод: Wide tread width and big block design increase contact area and help provide stability, handling and mileage.</x:v>
      </x:c>
      <x:c r="H29" s="19" t="str">
        <x:v>Handling</x:v>
      </x:c>
      <x:c r="I29" s="19" t="str">
        <x:v>Wide tread width and big block design increase contact area and help provide stability, handling and mileage.</x:v>
      </x:c>
      <x:c r="J29" s="20" t="str">
        <x:v>performance</x:v>
      </x:c>
      <x:c r="K29" s="31" t="b">
        <x:v>1</x:v>
      </x:c>
      <x:c r="L29" s="20" t="str">
        <x:v>source_only</x:v>
      </x:c>
      <x:c r="M29" s="19" t="n">
        <x:v>6</x:v>
      </x:c>
      <x:c r="N29" s="29" t="b">
        <x:v>1</x:v>
      </x:c>
      <x:c r="O29" s="19" t="str">
        <x:v>Английский текст перенесён/нормализован по товарному блоку; русский текст требует редакторской проверки.</x:v>
      </x:c>
    </x:row>
    <x:row r="30">
      <x:c r="A30" s="18" t="str">
        <x:v>BIZON-FEAT-DWD100-02</x:v>
      </x:c>
      <x:c r="B30" s="18" t="str">
        <x:v>BIZON-MODEL-DWD100</x:v>
      </x:c>
      <x:c r="C30" s="18" t="str">
        <x:v>DWD100</x:v>
      </x:c>
      <x:c r="D30" s="18" t="n">
        <x:v>2</x:v>
      </x:c>
      <x:c r="E30" s="18" t="str">
        <x:v>wet-grip</x:v>
      </x:c>
      <x:c r="F30" s="18" t="str">
        <x:v>Сцепление на мокрой дороге</x:v>
      </x:c>
      <x:c r="G30" s="18" t="str">
        <x:v>Редакционный перевод: Unique wave-like 3D sipe design provides exceptional traction in dry and slippery conditions.</x:v>
      </x:c>
      <x:c r="H30" s="19" t="str">
        <x:v>Wet grip</x:v>
      </x:c>
      <x:c r="I30" s="19" t="str">
        <x:v>Unique wave-like 3D sipe design provides exceptional traction in dry and slippery conditions.</x:v>
      </x:c>
      <x:c r="J30" s="18" t="str">
        <x:v>performance</x:v>
      </x:c>
      <x:c r="K30" s="28" t="b">
        <x:v>1</x:v>
      </x:c>
      <x:c r="L30" s="18" t="str">
        <x:v>source_only</x:v>
      </x:c>
      <x:c r="M30" s="19" t="n">
        <x:v>6</x:v>
      </x:c>
      <x:c r="N30" s="29" t="b">
        <x:v>1</x:v>
      </x:c>
      <x:c r="O30" s="19" t="str">
        <x:v>Английский текст перенесён/нормализован по товарному блоку; русский текст требует редакторской проверки.</x:v>
      </x:c>
    </x:row>
    <x:row r="31">
      <x:c r="A31" s="20" t="str">
        <x:v>BIZON-FEAT-DWD100-03</x:v>
      </x:c>
      <x:c r="B31" s="20" t="str">
        <x:v>BIZON-MODEL-DWD100</x:v>
      </x:c>
      <x:c r="C31" s="20" t="str">
        <x:v>DWD100</x:v>
      </x:c>
      <x:c r="D31" s="20" t="n">
        <x:v>3</x:v>
      </x:c>
      <x:c r="E31" s="20" t="str">
        <x:v>retreadability</x:v>
      </x:c>
      <x:c r="F31" s="20" t="str">
        <x:v>Восстанавливаемость</x:v>
      </x:c>
      <x:c r="G31" s="20" t="str">
        <x:v>Редакционный перевод: Application-specific tread compound supports snow traction, handling, casing protection and retreadability.</x:v>
      </x:c>
      <x:c r="H31" s="19" t="str">
        <x:v>Retreadability</x:v>
      </x:c>
      <x:c r="I31" s="19" t="str">
        <x:v>Application-specific tread compound supports snow traction, handling, casing protection and retreadability.</x:v>
      </x:c>
      <x:c r="J31" s="20" t="str">
        <x:v>performance</x:v>
      </x:c>
      <x:c r="K31" s="31" t="b">
        <x:v>1</x:v>
      </x:c>
      <x:c r="L31" s="20" t="str">
        <x:v>source_only</x:v>
      </x:c>
      <x:c r="M31" s="19" t="n">
        <x:v>6</x:v>
      </x:c>
      <x:c r="N31" s="29" t="b">
        <x:v>1</x:v>
      </x:c>
      <x:c r="O31" s="19" t="str">
        <x:v>Английский текст перенесён/нормализован по товарному блоку; русский текст требует редакторской проверки.</x:v>
      </x:c>
    </x:row>
    <x:row r="32">
      <x:c r="A32" s="18" t="str">
        <x:v>BIZON-FEAT-DLD809-01</x:v>
      </x:c>
      <x:c r="B32" s="18" t="str">
        <x:v>BIZON-MODEL-DLD809</x:v>
      </x:c>
      <x:c r="C32" s="18" t="str">
        <x:v>DLD809</x:v>
      </x:c>
      <x:c r="D32" s="18" t="n">
        <x:v>1</x:v>
      </x:c>
      <x:c r="E32" s="18" t="str">
        <x:v>handling</x:v>
      </x:c>
      <x:c r="F32" s="18" t="str">
        <x:v>Управляемость</x:v>
      </x:c>
      <x:c r="G32" s="18" t="str">
        <x:v>Редакционный перевод: Wide tread width and block design increase contact area and help improve handling and mileage.</x:v>
      </x:c>
      <x:c r="H32" s="19" t="str">
        <x:v>Handling</x:v>
      </x:c>
      <x:c r="I32" s="19" t="str">
        <x:v>Wide tread width and block design increase contact area and help improve handling and mileage.</x:v>
      </x:c>
      <x:c r="J32" s="18" t="str">
        <x:v>performance</x:v>
      </x:c>
      <x:c r="K32" s="28" t="b">
        <x:v>1</x:v>
      </x:c>
      <x:c r="L32" s="18" t="str">
        <x:v>source_only</x:v>
      </x:c>
      <x:c r="M32" s="19" t="n">
        <x:v>6</x:v>
      </x:c>
      <x:c r="N32" s="29" t="b">
        <x:v>1</x:v>
      </x:c>
      <x:c r="O32" s="19" t="str">
        <x:v>Английский текст перенесён/нормализован по товарному блоку; русский текст требует редакторской проверки.</x:v>
      </x:c>
    </x:row>
    <x:row r="33">
      <x:c r="A33" s="20" t="str">
        <x:v>BIZON-FEAT-DLD809-02</x:v>
      </x:c>
      <x:c r="B33" s="20" t="str">
        <x:v>BIZON-MODEL-DLD809</x:v>
      </x:c>
      <x:c r="C33" s="20" t="str">
        <x:v>DLD809</x:v>
      </x:c>
      <x:c r="D33" s="20" t="n">
        <x:v>2</x:v>
      </x:c>
      <x:c r="E33" s="20" t="str">
        <x:v>wet-grip</x:v>
      </x:c>
      <x:c r="F33" s="20" t="str">
        <x:v>Сцепление на мокрой дороге</x:v>
      </x:c>
      <x:c r="G33" s="20" t="str">
        <x:v>Редакционный перевод: Open block structure and deep sides give outstanding grip especially in wintry conditions.</x:v>
      </x:c>
      <x:c r="H33" s="19" t="str">
        <x:v>Wet grip</x:v>
      </x:c>
      <x:c r="I33" s="19" t="str">
        <x:v>Open block structure and deep sides give outstanding grip especially in wintry conditions.</x:v>
      </x:c>
      <x:c r="J33" s="20" t="str">
        <x:v>performance</x:v>
      </x:c>
      <x:c r="K33" s="31" t="b">
        <x:v>1</x:v>
      </x:c>
      <x:c r="L33" s="20" t="str">
        <x:v>source_only</x:v>
      </x:c>
      <x:c r="M33" s="19" t="n">
        <x:v>6</x:v>
      </x:c>
      <x:c r="N33" s="29" t="b">
        <x:v>1</x:v>
      </x:c>
      <x:c r="O33" s="19" t="str">
        <x:v>Английский текст перенесён/нормализован по товарному блоку; русский текст требует редакторской проверки.</x:v>
      </x:c>
    </x:row>
    <x:row r="34">
      <x:c r="A34" s="18" t="str">
        <x:v>BIZON-FEAT-D930-01</x:v>
      </x:c>
      <x:c r="B34" s="18" t="str">
        <x:v>BIZON-MODEL-D930</x:v>
      </x:c>
      <x:c r="C34" s="18" t="str">
        <x:v>D930</x:v>
      </x:c>
      <x:c r="D34" s="18" t="n">
        <x:v>1</x:v>
      </x:c>
      <x:c r="E34" s="18" t="str">
        <x:v>anti-wear</x:v>
      </x:c>
      <x:c r="F34" s="18" t="str">
        <x:v>Износостойкость</x:v>
      </x:c>
      <x:c r="G34" s="18" t="str">
        <x:v>Редакционный перевод: Optimize contour design, disperse stress, and achieve more uniform and wear-resistant pattern wear.</x:v>
      </x:c>
      <x:c r="H34" s="19" t="str">
        <x:v>Anti-wear</x:v>
      </x:c>
      <x:c r="I34" s="19" t="str">
        <x:v>Optimize contour design, disperse stress, and achieve more uniform and wear-resistant pattern wear.</x:v>
      </x:c>
      <x:c r="J34" s="18" t="str">
        <x:v>performance</x:v>
      </x:c>
      <x:c r="K34" s="28" t="b">
        <x:v>1</x:v>
      </x:c>
      <x:c r="L34" s="18" t="str">
        <x:v>source_only</x:v>
      </x:c>
      <x:c r="M34" s="19" t="n">
        <x:v>6</x:v>
      </x:c>
      <x:c r="N34" s="29" t="b">
        <x:v>1</x:v>
      </x:c>
      <x:c r="O34" s="19" t="str">
        <x:v>Английский текст перенесён/нормализован по товарному блоку; русский текст требует редакторской проверки.</x:v>
      </x:c>
    </x:row>
    <x:row r="35">
      <x:c r="A35" s="20" t="str">
        <x:v>BIZON-FEAT-D930-02</x:v>
      </x:c>
      <x:c r="B35" s="20" t="str">
        <x:v>BIZON-MODEL-D930</x:v>
      </x:c>
      <x:c r="C35" s="20" t="str">
        <x:v>D930</x:v>
      </x:c>
      <x:c r="D35" s="20" t="n">
        <x:v>2</x:v>
      </x:c>
      <x:c r="E35" s="20" t="str">
        <x:v>high-mileage</x:v>
      </x:c>
      <x:c r="F35" s="20" t="str">
        <x:v>Высокий пробег</x:v>
      </x:c>
      <x:c r="G35" s="20" t="str">
        <x:v>Редакционный перевод: Special formula design for bus tires, long driving range, low failure rate.</x:v>
      </x:c>
      <x:c r="H35" s="19" t="str">
        <x:v>High mileage</x:v>
      </x:c>
      <x:c r="I35" s="19" t="str">
        <x:v>Special formula design for bus tires, long driving range, low failure rate.</x:v>
      </x:c>
      <x:c r="J35" s="20" t="str">
        <x:v>performance</x:v>
      </x:c>
      <x:c r="K35" s="31" t="b">
        <x:v>1</x:v>
      </x:c>
      <x:c r="L35" s="20" t="str">
        <x:v>source_only</x:v>
      </x:c>
      <x:c r="M35" s="19" t="n">
        <x:v>6</x:v>
      </x:c>
      <x:c r="N35" s="29" t="b">
        <x:v>1</x:v>
      </x:c>
      <x:c r="O35" s="19" t="str">
        <x:v>Английский текст перенесён/нормализован по товарному блоку; русский текст требует редакторской проверки.</x:v>
      </x:c>
    </x:row>
    <x:row r="36">
      <x:c r="A36" s="18" t="str">
        <x:v>BIZON-FEAT-D930-03</x:v>
      </x:c>
      <x:c r="B36" s="18" t="str">
        <x:v>BIZON-MODEL-D930</x:v>
      </x:c>
      <x:c r="C36" s="18" t="str">
        <x:v>D930</x:v>
      </x:c>
      <x:c r="D36" s="18" t="n">
        <x:v>3</x:v>
      </x:c>
      <x:c r="E36" s="18" t="str">
        <x:v>short-braking-distance</x:v>
      </x:c>
      <x:c r="F36" s="18" t="str">
        <x:v>Короткий тормозной путь</x:v>
      </x:c>
      <x:c r="G36" s="18" t="str">
        <x:v>Редакционный перевод: Intricate strip-shaped patterns and small steel plates increase heat dissipation area and shorten braking distance.</x:v>
      </x:c>
      <x:c r="H36" s="19" t="str">
        <x:v>Short braking distance</x:v>
      </x:c>
      <x:c r="I36" s="19" t="str">
        <x:v>Intricate strip-shaped patterns and small steel plates increase heat dissipation area and shorten braking distance.</x:v>
      </x:c>
      <x:c r="J36" s="18" t="str">
        <x:v>performance</x:v>
      </x:c>
      <x:c r="K36" s="28" t="b">
        <x:v>1</x:v>
      </x:c>
      <x:c r="L36" s="18" t="str">
        <x:v>source_only</x:v>
      </x:c>
      <x:c r="M36" s="19" t="n">
        <x:v>6</x:v>
      </x:c>
      <x:c r="N36" s="29" t="b">
        <x:v>1</x:v>
      </x:c>
      <x:c r="O36" s="19" t="str">
        <x:v>Английский текст перенесён/нормализован по товарному блоку; русский текст требует редакторской проверки.</x:v>
      </x:c>
    </x:row>
    <x:row r="37">
      <x:c r="A37" s="20" t="str">
        <x:v>BIZON-FEAT-DMA808-01</x:v>
      </x:c>
      <x:c r="B37" s="20" t="str">
        <x:v>BIZON-MODEL-DMA808</x:v>
      </x:c>
      <x:c r="C37" s="20" t="str">
        <x:v>DMA808</x:v>
      </x:c>
      <x:c r="D37" s="20" t="n">
        <x:v>1</x:v>
      </x:c>
      <x:c r="E37" s="20" t="str">
        <x:v>handling</x:v>
      </x:c>
      <x:c r="F37" s="20" t="str">
        <x:v>Управляемость</x:v>
      </x:c>
      <x:c r="G37" s="20" t="str">
        <x:v>Редакционный перевод: Wide footprint enhances vehicle stability and even wear.</x:v>
      </x:c>
      <x:c r="H37" s="19" t="str">
        <x:v>Handling</x:v>
      </x:c>
      <x:c r="I37" s="19" t="str">
        <x:v>Wide footprint enhances vehicle stability and even wear.</x:v>
      </x:c>
      <x:c r="J37" s="20" t="str">
        <x:v>performance</x:v>
      </x:c>
      <x:c r="K37" s="31" t="b">
        <x:v>1</x:v>
      </x:c>
      <x:c r="L37" s="20" t="str">
        <x:v>source_only</x:v>
      </x:c>
      <x:c r="M37" s="19" t="n">
        <x:v>7</x:v>
      </x:c>
      <x:c r="N37" s="29" t="b">
        <x:v>1</x:v>
      </x:c>
      <x:c r="O37" s="19" t="str">
        <x:v>Английский текст перенесён/нормализован по товарному блоку; русский текст требует редакторской проверки.</x:v>
      </x:c>
    </x:row>
    <x:row r="38">
      <x:c r="A38" s="18" t="str">
        <x:v>BIZON-FEAT-DMA808-02</x:v>
      </x:c>
      <x:c r="B38" s="18" t="str">
        <x:v>BIZON-MODEL-DMA808</x:v>
      </x:c>
      <x:c r="C38" s="18" t="str">
        <x:v>DMA808</x:v>
      </x:c>
      <x:c r="D38" s="18" t="n">
        <x:v>2</x:v>
      </x:c>
      <x:c r="E38" s="18" t="str">
        <x:v>handling</x:v>
      </x:c>
      <x:c r="F38" s="18" t="str">
        <x:v>Управляемость</x:v>
      </x:c>
      <x:c r="G38" s="18" t="str">
        <x:v>Редакционный перевод: Optimized pattern block design provides a better driving force.</x:v>
      </x:c>
      <x:c r="H38" s="19" t="str">
        <x:v>Handling</x:v>
      </x:c>
      <x:c r="I38" s="19" t="str">
        <x:v>Optimized pattern block design provides a better driving force.</x:v>
      </x:c>
      <x:c r="J38" s="18" t="str">
        <x:v>performance</x:v>
      </x:c>
      <x:c r="K38" s="28" t="b">
        <x:v>1</x:v>
      </x:c>
      <x:c r="L38" s="18" t="str">
        <x:v>source_only</x:v>
      </x:c>
      <x:c r="M38" s="19" t="n">
        <x:v>7</x:v>
      </x:c>
      <x:c r="N38" s="29" t="b">
        <x:v>1</x:v>
      </x:c>
      <x:c r="O38" s="19" t="str">
        <x:v>Английский текст перенесён/нормализован по товарному блоку; русский текст требует редакторской проверки.</x:v>
      </x:c>
    </x:row>
    <x:row r="39">
      <x:c r="A39" s="20" t="str">
        <x:v>BIZON-FEAT-DMA808-03</x:v>
      </x:c>
      <x:c r="B39" s="20" t="str">
        <x:v>BIZON-MODEL-DMA808</x:v>
      </x:c>
      <x:c r="C39" s="20" t="str">
        <x:v>DMA808</x:v>
      </x:c>
      <x:c r="D39" s="20" t="n">
        <x:v>3</x:v>
      </x:c>
      <x:c r="E39" s="20" t="str">
        <x:v>cut-resistance</x:v>
      </x:c>
      <x:c r="F39" s="20" t="str">
        <x:v>Стойкость к порезам</x:v>
      </x:c>
      <x:c r="G39" s="20" t="str">
        <x:v>Редакционный перевод: Special tread compounds resist cuts, chips, tearing and irregular wear.</x:v>
      </x:c>
      <x:c r="H39" s="19" t="str">
        <x:v>Cut resistance</x:v>
      </x:c>
      <x:c r="I39" s="19" t="str">
        <x:v>Special tread compounds resist cuts, chips, tearing and irregular wear.</x:v>
      </x:c>
      <x:c r="J39" s="20" t="str">
        <x:v>technical</x:v>
      </x:c>
      <x:c r="K39" s="31" t="b">
        <x:v>1</x:v>
      </x:c>
      <x:c r="L39" s="20" t="str">
        <x:v>source_only</x:v>
      </x:c>
      <x:c r="M39" s="19" t="n">
        <x:v>7</x:v>
      </x:c>
      <x:c r="N39" s="29" t="b">
        <x:v>1</x:v>
      </x:c>
      <x:c r="O39" s="19" t="str">
        <x:v>Английский текст перенесён/нормализован по товарному блоку; русский текст требует редакторской проверки.</x:v>
      </x:c>
    </x:row>
    <x:row r="40">
      <x:c r="A40" s="18" t="str">
        <x:v>BIZON-FEAT-DSRD22-01</x:v>
      </x:c>
      <x:c r="B40" s="18" t="str">
        <x:v>BIZON-MODEL-DSRD22</x:v>
      </x:c>
      <x:c r="C40" s="18" t="str">
        <x:v>DSRD22</x:v>
      </x:c>
      <x:c r="D40" s="18" t="n">
        <x:v>1</x:v>
      </x:c>
      <x:c r="E40" s="18" t="str">
        <x:v>handling</x:v>
      </x:c>
      <x:c r="F40" s="18" t="str">
        <x:v>Управляемость</x:v>
      </x:c>
      <x:c r="G40" s="18" t="str">
        <x:v>Редакционный перевод: Big block pattern ensures excellent driving and stronger traction performance.</x:v>
      </x:c>
      <x:c r="H40" s="19" t="str">
        <x:v>Handling</x:v>
      </x:c>
      <x:c r="I40" s="19" t="str">
        <x:v>Big block pattern ensures excellent driving and stronger traction performance.</x:v>
      </x:c>
      <x:c r="J40" s="18" t="str">
        <x:v>performance</x:v>
      </x:c>
      <x:c r="K40" s="28" t="b">
        <x:v>1</x:v>
      </x:c>
      <x:c r="L40" s="18" t="str">
        <x:v>source_only</x:v>
      </x:c>
      <x:c r="M40" s="19" t="n">
        <x:v>7</x:v>
      </x:c>
      <x:c r="N40" s="29" t="b">
        <x:v>1</x:v>
      </x:c>
      <x:c r="O40" s="19" t="str">
        <x:v>Английский текст перенесён/нормализован по товарному блоку; русский текст требует редакторской проверки.</x:v>
      </x:c>
    </x:row>
    <x:row r="41">
      <x:c r="A41" s="20" t="str">
        <x:v>BIZON-FEAT-DSRD22-02</x:v>
      </x:c>
      <x:c r="B41" s="20" t="str">
        <x:v>BIZON-MODEL-DSRD22</x:v>
      </x:c>
      <x:c r="C41" s="20" t="str">
        <x:v>DSRD22</x:v>
      </x:c>
      <x:c r="D41" s="20" t="n">
        <x:v>2</x:v>
      </x:c>
      <x:c r="E41" s="20" t="str">
        <x:v>low-rolling-resistance</x:v>
      </x:c>
      <x:c r="F41" s="20" t="str">
        <x:v>Низкое сопротивление качению</x:v>
      </x:c>
      <x:c r="G41" s="20" t="str">
        <x:v>Редакционный перевод: Single direction pattern design provides low rolling resistance and better wet-skid resistance.</x:v>
      </x:c>
      <x:c r="H41" s="19" t="str">
        <x:v>Low rolling resistance</x:v>
      </x:c>
      <x:c r="I41" s="19" t="str">
        <x:v>Single direction pattern design provides low rolling resistance and better wet-skid resistance.</x:v>
      </x:c>
      <x:c r="J41" s="20" t="str">
        <x:v>performance</x:v>
      </x:c>
      <x:c r="K41" s="31" t="b">
        <x:v>1</x:v>
      </x:c>
      <x:c r="L41" s="20" t="str">
        <x:v>source_only</x:v>
      </x:c>
      <x:c r="M41" s="19" t="n">
        <x:v>7</x:v>
      </x:c>
      <x:c r="N41" s="29" t="b">
        <x:v>1</x:v>
      </x:c>
      <x:c r="O41" s="19" t="str">
        <x:v>Английский текст перенесён/нормализован по товарному блоку; русский текст требует редакторской проверки.</x:v>
      </x:c>
    </x:row>
    <x:row r="42">
      <x:c r="A42" s="18" t="str">
        <x:v>BIZON-FEAT-DSRD22-03</x:v>
      </x:c>
      <x:c r="B42" s="18" t="str">
        <x:v>BIZON-MODEL-DSRD22</x:v>
      </x:c>
      <x:c r="C42" s="18" t="str">
        <x:v>DSRD22</x:v>
      </x:c>
      <x:c r="D42" s="18" t="n">
        <x:v>3</x:v>
      </x:c>
      <x:c r="E42" s="18" t="str">
        <x:v>stone-ejection</x:v>
      </x:c>
      <x:c r="F42" s="18" t="str">
        <x:v>Удаление камней</x:v>
      </x:c>
      <x:c r="G42" s="18" t="str">
        <x:v>Редакционный перевод: Small bulge in the bottom of grooves can effectively pop out stones.</x:v>
      </x:c>
      <x:c r="H42" s="19" t="str">
        <x:v>Stone ejection</x:v>
      </x:c>
      <x:c r="I42" s="19" t="str">
        <x:v>Small bulge in the bottom of grooves can effectively pop out stones.</x:v>
      </x:c>
      <x:c r="J42" s="18" t="str">
        <x:v>performance</x:v>
      </x:c>
      <x:c r="K42" s="28" t="b">
        <x:v>1</x:v>
      </x:c>
      <x:c r="L42" s="18" t="str">
        <x:v>source_only</x:v>
      </x:c>
      <x:c r="M42" s="19" t="n">
        <x:v>7</x:v>
      </x:c>
      <x:c r="N42" s="29" t="b">
        <x:v>1</x:v>
      </x:c>
      <x:c r="O42" s="19" t="str">
        <x:v>Английский текст перенесён/нормализован по товарному блоку; русский текст требует редакторской проверки.</x:v>
      </x:c>
    </x:row>
    <x:row r="43">
      <x:c r="A43" s="20" t="str">
        <x:v>BIZON-FEAT-D530-01</x:v>
      </x:c>
      <x:c r="B43" s="20" t="str">
        <x:v>BIZON-MODEL-D530</x:v>
      </x:c>
      <x:c r="C43" s="20" t="str">
        <x:v>D530</x:v>
      </x:c>
      <x:c r="D43" s="20" t="n">
        <x:v>1</x:v>
      </x:c>
      <x:c r="E43" s="20" t="str">
        <x:v>heat-dissipation</x:v>
      </x:c>
      <x:c r="F43" s="20" t="str">
        <x:v>Теплоотвод</x:v>
      </x:c>
      <x:c r="G43" s="20" t="str">
        <x:v>Редакционный перевод: Special formula design for medium to short distance mixed road surfaces considers low heat generation and good anti-stone ability.</x:v>
      </x:c>
      <x:c r="H43" s="19" t="str">
        <x:v>Heat dissipation</x:v>
      </x:c>
      <x:c r="I43" s="19" t="str">
        <x:v>Special formula design for medium to short distance mixed road surfaces considers low heat generation and good anti-stone ability.</x:v>
      </x:c>
      <x:c r="J43" s="20" t="str">
        <x:v>technical</x:v>
      </x:c>
      <x:c r="K43" s="31" t="b">
        <x:v>1</x:v>
      </x:c>
      <x:c r="L43" s="20" t="str">
        <x:v>source_only</x:v>
      </x:c>
      <x:c r="M43" s="19" t="n">
        <x:v>7</x:v>
      </x:c>
      <x:c r="N43" s="29" t="b">
        <x:v>1</x:v>
      </x:c>
      <x:c r="O43" s="19" t="str">
        <x:v>Английский текст перенесён/нормализован по товарному блоку; русский текст требует редакторской проверки.</x:v>
      </x:c>
    </x:row>
    <x:row r="44">
      <x:c r="A44" s="18" t="str">
        <x:v>BIZON-FEAT-D530-02</x:v>
      </x:c>
      <x:c r="B44" s="18" t="str">
        <x:v>BIZON-MODEL-D530</x:v>
      </x:c>
      <x:c r="C44" s="18" t="str">
        <x:v>D530</x:v>
      </x:c>
      <x:c r="D44" s="18" t="n">
        <x:v>2</x:v>
      </x:c>
      <x:c r="E44" s="18" t="str">
        <x:v>handling</x:v>
      </x:c>
      <x:c r="F44" s="18" t="str">
        <x:v>Управляемость</x:v>
      </x:c>
      <x:c r="G44" s="18" t="str">
        <x:v>Редакционный перевод: Horizontal block pattern design provides better driving performance.</x:v>
      </x:c>
      <x:c r="H44" s="19" t="str">
        <x:v>Handling</x:v>
      </x:c>
      <x:c r="I44" s="19" t="str">
        <x:v>Horizontal block pattern design provides better driving performance.</x:v>
      </x:c>
      <x:c r="J44" s="18" t="str">
        <x:v>performance</x:v>
      </x:c>
      <x:c r="K44" s="28" t="b">
        <x:v>1</x:v>
      </x:c>
      <x:c r="L44" s="18" t="str">
        <x:v>source_only</x:v>
      </x:c>
      <x:c r="M44" s="19" t="n">
        <x:v>7</x:v>
      </x:c>
      <x:c r="N44" s="29" t="b">
        <x:v>1</x:v>
      </x:c>
      <x:c r="O44" s="19" t="str">
        <x:v>Английский текст перенесён/нормализован по товарному блоку; русский текст требует редакторской проверки.</x:v>
      </x:c>
    </x:row>
    <x:row r="45">
      <x:c r="A45" s="20" t="str">
        <x:v>BIZON-FEAT-D530-03</x:v>
      </x:c>
      <x:c r="B45" s="20" t="str">
        <x:v>BIZON-MODEL-D530</x:v>
      </x:c>
      <x:c r="C45" s="20" t="str">
        <x:v>D530</x:v>
      </x:c>
      <x:c r="D45" s="20" t="n">
        <x:v>3</x:v>
      </x:c>
      <x:c r="E45" s="20" t="str">
        <x:v>heavy-load</x:v>
      </x:c>
      <x:c r="F45" s="20" t="str">
        <x:v>Высокая грузоподъёмность</x:v>
      </x:c>
      <x:c r="G45" s="20" t="str">
        <x:v>Редакционный перевод: Optimized construction and contour design improve durability performance.</x:v>
      </x:c>
      <x:c r="H45" s="19" t="str">
        <x:v>Heavy load</x:v>
      </x:c>
      <x:c r="I45" s="19" t="str">
        <x:v>Optimized construction and contour design improve durability performance.</x:v>
      </x:c>
      <x:c r="J45" s="20" t="str">
        <x:v>technical</x:v>
      </x:c>
      <x:c r="K45" s="31" t="b">
        <x:v>1</x:v>
      </x:c>
      <x:c r="L45" s="20" t="str">
        <x:v>source_only</x:v>
      </x:c>
      <x:c r="M45" s="19" t="n">
        <x:v>7</x:v>
      </x:c>
      <x:c r="N45" s="29" t="b">
        <x:v>1</x:v>
      </x:c>
      <x:c r="O45" s="19" t="str">
        <x:v>Английский текст перенесён/нормализован по товарному блоку; русский текст требует редакторской проверки.</x:v>
      </x:c>
    </x:row>
    <x:row r="46">
      <x:c r="A46" s="18" t="str">
        <x:v>BIZON-FEAT-FIO628-01</x:v>
      </x:c>
      <x:c r="B46" s="18" t="str">
        <x:v>BIZON-MODEL-FIO628</x:v>
      </x:c>
      <x:c r="C46" s="18" t="str">
        <x:v>FIO628</x:v>
      </x:c>
      <x:c r="D46" s="18" t="n">
        <x:v>1</x:v>
      </x:c>
      <x:c r="E46" s="18" t="str">
        <x:v>handling</x:v>
      </x:c>
      <x:c r="F46" s="18" t="str">
        <x:v>Управляемость</x:v>
      </x:c>
      <x:c r="G46" s="18" t="str">
        <x:v>Редакционный перевод: Big block pattern is specially designed for mining road, providing better driving and grip performance with low heat generation.</x:v>
      </x:c>
      <x:c r="H46" s="19" t="str">
        <x:v>Handling</x:v>
      </x:c>
      <x:c r="I46" s="19" t="str">
        <x:v>Big block pattern is specially designed for mining road, providing better driving and grip performance with low heat generation.</x:v>
      </x:c>
      <x:c r="J46" s="18" t="str">
        <x:v>performance</x:v>
      </x:c>
      <x:c r="K46" s="28" t="b">
        <x:v>1</x:v>
      </x:c>
      <x:c r="L46" s="18" t="str">
        <x:v>source_only</x:v>
      </x:c>
      <x:c r="M46" s="19" t="n">
        <x:v>7</x:v>
      </x:c>
      <x:c r="N46" s="29" t="b">
        <x:v>1</x:v>
      </x:c>
      <x:c r="O46" s="19" t="str">
        <x:v>Английский текст перенесён/нормализован по товарному блоку; русский текст требует редакторской проверки.</x:v>
      </x:c>
    </x:row>
    <x:row r="47">
      <x:c r="A47" s="20" t="str">
        <x:v>BIZON-FEAT-FIO628-02</x:v>
      </x:c>
      <x:c r="B47" s="20" t="str">
        <x:v>BIZON-MODEL-FIO628</x:v>
      </x:c>
      <x:c r="C47" s="20" t="str">
        <x:v>FIO628</x:v>
      </x:c>
      <x:c r="D47" s="20" t="n">
        <x:v>2</x:v>
      </x:c>
      <x:c r="E47" s="20" t="str">
        <x:v>puncture-resistance</x:v>
      </x:c>
      <x:c r="F47" s="20" t="str">
        <x:v>Стойкость к проколам</x:v>
      </x:c>
      <x:c r="G47" s="20" t="str">
        <x:v>Редакционный перевод: Special mining tread compound provides anti-tear, anti-puncture and anti-wear performance.</x:v>
      </x:c>
      <x:c r="H47" s="19" t="str">
        <x:v>Puncture resistance</x:v>
      </x:c>
      <x:c r="I47" s="19" t="str">
        <x:v>Special mining tread compound provides anti-tear, anti-puncture and anti-wear performance.</x:v>
      </x:c>
      <x:c r="J47" s="20" t="str">
        <x:v>technical</x:v>
      </x:c>
      <x:c r="K47" s="31" t="b">
        <x:v>1</x:v>
      </x:c>
      <x:c r="L47" s="20" t="str">
        <x:v>source_only</x:v>
      </x:c>
      <x:c r="M47" s="19" t="n">
        <x:v>7</x:v>
      </x:c>
      <x:c r="N47" s="29" t="b">
        <x:v>1</x:v>
      </x:c>
      <x:c r="O47" s="19" t="str">
        <x:v>Английский текст перенесён/нормализован по товарному блоку; русский текст требует редакторской проверки.</x:v>
      </x:c>
    </x:row>
    <x:row r="48">
      <x:c r="A48" s="18" t="str">
        <x:v>BIZON-FEAT-DMA100-01</x:v>
      </x:c>
      <x:c r="B48" s="18" t="str">
        <x:v>BIZON-MODEL-DMA100</x:v>
      </x:c>
      <x:c r="C48" s="18" t="str">
        <x:v>DMA100</x:v>
      </x:c>
      <x:c r="D48" s="18" t="n">
        <x:v>1</x:v>
      </x:c>
      <x:c r="E48" s="18" t="str">
        <x:v>high-mileage</x:v>
      </x:c>
      <x:c r="F48" s="18" t="str">
        <x:v>Высокий пробег</x:v>
      </x:c>
      <x:c r="G48" s="18" t="str">
        <x:v>Редакционный перевод: Extra-wide tread blocks ensure ultra high mileage and driving stability.</x:v>
      </x:c>
      <x:c r="H48" s="19" t="str">
        <x:v>High mileage</x:v>
      </x:c>
      <x:c r="I48" s="19" t="str">
        <x:v>Extra-wide tread blocks ensure ultra high mileage and driving stability.</x:v>
      </x:c>
      <x:c r="J48" s="18" t="str">
        <x:v>performance</x:v>
      </x:c>
      <x:c r="K48" s="28" t="b">
        <x:v>1</x:v>
      </x:c>
      <x:c r="L48" s="18" t="str">
        <x:v>source_only</x:v>
      </x:c>
      <x:c r="M48" s="19" t="n">
        <x:v>8</x:v>
      </x:c>
      <x:c r="N48" s="29" t="b">
        <x:v>1</x:v>
      </x:c>
      <x:c r="O48" s="19" t="str">
        <x:v>Английский текст перенесён/нормализован по товарному блоку; русский текст требует редакторской проверки.</x:v>
      </x:c>
    </x:row>
    <x:row r="49">
      <x:c r="A49" s="20" t="str">
        <x:v>BIZON-FEAT-DMA100-02</x:v>
      </x:c>
      <x:c r="B49" s="20" t="str">
        <x:v>BIZON-MODEL-DMA100</x:v>
      </x:c>
      <x:c r="C49" s="20" t="str">
        <x:v>DMA100</x:v>
      </x:c>
      <x:c r="D49" s="20" t="n">
        <x:v>2</x:v>
      </x:c>
      <x:c r="E49" s="20" t="str">
        <x:v>anti-wear</x:v>
      </x:c>
      <x:c r="F49" s="20" t="str">
        <x:v>Износостойкость</x:v>
      </x:c>
      <x:c r="G49" s="20" t="str">
        <x:v>Редакционный перевод: Small grooves between the blocks help prevent uneven wear.</x:v>
      </x:c>
      <x:c r="H49" s="19" t="str">
        <x:v>Anti-wear</x:v>
      </x:c>
      <x:c r="I49" s="19" t="str">
        <x:v>Small grooves between the blocks help prevent uneven wear.</x:v>
      </x:c>
      <x:c r="J49" s="20" t="str">
        <x:v>performance</x:v>
      </x:c>
      <x:c r="K49" s="31" t="b">
        <x:v>1</x:v>
      </x:c>
      <x:c r="L49" s="20" t="str">
        <x:v>source_only</x:v>
      </x:c>
      <x:c r="M49" s="19" t="n">
        <x:v>8</x:v>
      </x:c>
      <x:c r="N49" s="29" t="b">
        <x:v>1</x:v>
      </x:c>
      <x:c r="O49" s="19" t="str">
        <x:v>Английский текст перенесён/нормализован по товарному блоку; русский текст требует редакторской проверки.</x:v>
      </x:c>
    </x:row>
    <x:row r="50">
      <x:c r="A50" s="18" t="str">
        <x:v>BIZON-FEAT-DMA100-03</x:v>
      </x:c>
      <x:c r="B50" s="18" t="str">
        <x:v>BIZON-MODEL-DMA100</x:v>
      </x:c>
      <x:c r="C50" s="18" t="str">
        <x:v>DMA100</x:v>
      </x:c>
      <x:c r="D50" s="18" t="n">
        <x:v>3</x:v>
      </x:c>
      <x:c r="E50" s="18" t="str">
        <x:v>handling</x:v>
      </x:c>
      <x:c r="F50" s="18" t="str">
        <x:v>Управляемость</x:v>
      </x:c>
      <x:c r="G50" s="18" t="str">
        <x:v>Редакционный перевод: The main tread grooves maximize traction performance under all applications.</x:v>
      </x:c>
      <x:c r="H50" s="19" t="str">
        <x:v>Handling</x:v>
      </x:c>
      <x:c r="I50" s="19" t="str">
        <x:v>The main tread grooves maximize traction performance under all applications.</x:v>
      </x:c>
      <x:c r="J50" s="18" t="str">
        <x:v>performance</x:v>
      </x:c>
      <x:c r="K50" s="28" t="b">
        <x:v>1</x:v>
      </x:c>
      <x:c r="L50" s="18" t="str">
        <x:v>source_only</x:v>
      </x:c>
      <x:c r="M50" s="19" t="n">
        <x:v>8</x:v>
      </x:c>
      <x:c r="N50" s="29" t="b">
        <x:v>1</x:v>
      </x:c>
      <x:c r="O50" s="19" t="str">
        <x:v>Английский текст перенесён/нормализован по товарному блоку; русский текст требует редакторской проверки.</x:v>
      </x:c>
    </x:row>
    <x:row r="51">
      <x:c r="A51" s="20" t="str">
        <x:v>BIZON-FEAT-DMA805-01</x:v>
      </x:c>
      <x:c r="B51" s="20" t="str">
        <x:v>BIZON-MODEL-DMA805</x:v>
      </x:c>
      <x:c r="C51" s="20" t="str">
        <x:v>DMA805</x:v>
      </x:c>
      <x:c r="D51" s="20" t="n">
        <x:v>1</x:v>
      </x:c>
      <x:c r="E51" s="20" t="str">
        <x:v>heavy-load</x:v>
      </x:c>
      <x:c r="F51" s="20" t="str">
        <x:v>Высокая грузоподъёмность</x:v>
      </x:c>
      <x:c r="G51" s="20" t="str">
        <x:v>Редакционный перевод: Wide-base design provides higher payload and flotation while maintaining grip and traction.</x:v>
      </x:c>
      <x:c r="H51" s="19" t="str">
        <x:v>Heavy load</x:v>
      </x:c>
      <x:c r="I51" s="19" t="str">
        <x:v>Wide-base design provides higher payload and flotation while maintaining grip and traction.</x:v>
      </x:c>
      <x:c r="J51" s="20" t="str">
        <x:v>technical</x:v>
      </x:c>
      <x:c r="K51" s="31" t="b">
        <x:v>1</x:v>
      </x:c>
      <x:c r="L51" s="20" t="str">
        <x:v>source_only</x:v>
      </x:c>
      <x:c r="M51" s="19" t="n">
        <x:v>8</x:v>
      </x:c>
      <x:c r="N51" s="29" t="b">
        <x:v>1</x:v>
      </x:c>
      <x:c r="O51" s="19" t="str">
        <x:v>Английский текст перенесён/нормализован по товарному блоку; русский текст требует редакторской проверки.</x:v>
      </x:c>
    </x:row>
    <x:row r="52">
      <x:c r="A52" s="18" t="str">
        <x:v>BIZON-FEAT-DMA805-02</x:v>
      </x:c>
      <x:c r="B52" s="18" t="str">
        <x:v>BIZON-MODEL-DMA805</x:v>
      </x:c>
      <x:c r="C52" s="18" t="str">
        <x:v>DMA805</x:v>
      </x:c>
      <x:c r="D52" s="18" t="n">
        <x:v>2</x:v>
      </x:c>
      <x:c r="E52" s="18" t="str">
        <x:v>retreadability</x:v>
      </x:c>
      <x:c r="F52" s="18" t="str">
        <x:v>Восстанавливаемость</x:v>
      </x:c>
      <x:c r="G52" s="18" t="str">
        <x:v>Редакционный перевод: Optimized casing construction controls casing growth, improves irregular wear resistance and enhances retreadability.</x:v>
      </x:c>
      <x:c r="H52" s="19" t="str">
        <x:v>Retreadability</x:v>
      </x:c>
      <x:c r="I52" s="19" t="str">
        <x:v>Optimized casing construction controls casing growth, improves irregular wear resistance and enhances retreadability.</x:v>
      </x:c>
      <x:c r="J52" s="18" t="str">
        <x:v>performance</x:v>
      </x:c>
      <x:c r="K52" s="28" t="b">
        <x:v>1</x:v>
      </x:c>
      <x:c r="L52" s="18" t="str">
        <x:v>source_only</x:v>
      </x:c>
      <x:c r="M52" s="19" t="n">
        <x:v>8</x:v>
      </x:c>
      <x:c r="N52" s="29" t="b">
        <x:v>1</x:v>
      </x:c>
      <x:c r="O52" s="19" t="str">
        <x:v>Английский текст перенесён/нормализован по товарному блоку; русский текст требует редакторской проверки.</x:v>
      </x:c>
    </x:row>
    <x:row r="53">
      <x:c r="A53" s="20" t="str">
        <x:v>BIZON-FEAT-DMA805-03</x:v>
      </x:c>
      <x:c r="B53" s="20" t="str">
        <x:v>BIZON-MODEL-DMA805</x:v>
      </x:c>
      <x:c r="C53" s="20" t="str">
        <x:v>DMA805</x:v>
      </x:c>
      <x:c r="D53" s="20" t="n">
        <x:v>3</x:v>
      </x:c>
      <x:c r="E53" s="20" t="str">
        <x:v>stone-ejection</x:v>
      </x:c>
      <x:c r="F53" s="20" t="str">
        <x:v>Удаление камней</x:v>
      </x:c>
      <x:c r="G53" s="20" t="str">
        <x:v>Редакционный перевод: Design feature prevents stones from becoming trapped in the tread to protect the casing.</x:v>
      </x:c>
      <x:c r="H53" s="19" t="str">
        <x:v>Stone ejection</x:v>
      </x:c>
      <x:c r="I53" s="19" t="str">
        <x:v>Design feature prevents stones from becoming trapped in the tread to protect the casing.</x:v>
      </x:c>
      <x:c r="J53" s="20" t="str">
        <x:v>performance</x:v>
      </x:c>
      <x:c r="K53" s="31" t="b">
        <x:v>1</x:v>
      </x:c>
      <x:c r="L53" s="20" t="str">
        <x:v>source_only</x:v>
      </x:c>
      <x:c r="M53" s="19" t="n">
        <x:v>8</x:v>
      </x:c>
      <x:c r="N53" s="29" t="b">
        <x:v>1</x:v>
      </x:c>
      <x:c r="O53" s="19" t="str">
        <x:v>Английский текст перенесён/нормализован по товарному блоку; русский текст требует редакторской проверки.</x:v>
      </x:c>
    </x:row>
    <x:row r="54">
      <x:c r="A54" s="18" t="str">
        <x:v>BIZON-FEAT-DMA805-04</x:v>
      </x:c>
      <x:c r="B54" s="18" t="str">
        <x:v>BIZON-MODEL-DMA805</x:v>
      </x:c>
      <x:c r="C54" s="18" t="str">
        <x:v>DMA805</x:v>
      </x:c>
      <x:c r="D54" s="18" t="n">
        <x:v>4</x:v>
      </x:c>
      <x:c r="E54" s="18" t="str">
        <x:v>cut-resistance</x:v>
      </x:c>
      <x:c r="F54" s="18" t="str">
        <x:v>Стойкость к порезам</x:v>
      </x:c>
      <x:c r="G54" s="18" t="str">
        <x:v>Редакционный перевод: Special tread compound improves resistance to cuts and chunking.</x:v>
      </x:c>
      <x:c r="H54" s="19" t="str">
        <x:v>Cut resistance</x:v>
      </x:c>
      <x:c r="I54" s="19" t="str">
        <x:v>Special tread compound improves resistance to cuts and chunking.</x:v>
      </x:c>
      <x:c r="J54" s="18" t="str">
        <x:v>technical</x:v>
      </x:c>
      <x:c r="K54" s="28" t="b">
        <x:v>1</x:v>
      </x:c>
      <x:c r="L54" s="18" t="str">
        <x:v>source_only</x:v>
      </x:c>
      <x:c r="M54" s="19" t="n">
        <x:v>8</x:v>
      </x:c>
      <x:c r="N54" s="29" t="b">
        <x:v>1</x:v>
      </x:c>
      <x:c r="O54" s="19" t="str">
        <x:v>Английский текст перенесён/нормализован по товарному блоку; русский текст требует редакторской проверки.</x:v>
      </x:c>
    </x:row>
    <x:row r="55">
      <x:c r="A55" s="20" t="str">
        <x:v>BIZON-FEAT-DSR177-01</x:v>
      </x:c>
      <x:c r="B55" s="20" t="str">
        <x:v>BIZON-MODEL-DSR177</x:v>
      </x:c>
      <x:c r="C55" s="20" t="str">
        <x:v>DSR177</x:v>
      </x:c>
      <x:c r="D55" s="20" t="n">
        <x:v>1</x:v>
      </x:c>
      <x:c r="E55" s="20" t="str">
        <x:v>heavy-load</x:v>
      </x:c>
      <x:c r="F55" s="20" t="str">
        <x:v>Высокая грузоподъёмность</x:v>
      </x:c>
      <x:c r="G55" s="20" t="str">
        <x:v>Редакционный перевод: Big block deeper pattern is specially designed for mining road, making the tread more stronger.</x:v>
      </x:c>
      <x:c r="H55" s="19" t="str">
        <x:v>Heavy load</x:v>
      </x:c>
      <x:c r="I55" s="19" t="str">
        <x:v>Big block deeper pattern is specially designed for mining road, making the tread more stronger.</x:v>
      </x:c>
      <x:c r="J55" s="20" t="str">
        <x:v>technical</x:v>
      </x:c>
      <x:c r="K55" s="31" t="b">
        <x:v>1</x:v>
      </x:c>
      <x:c r="L55" s="20" t="str">
        <x:v>source_only</x:v>
      </x:c>
      <x:c r="M55" s="19" t="n">
        <x:v>8</x:v>
      </x:c>
      <x:c r="N55" s="29" t="b">
        <x:v>1</x:v>
      </x:c>
      <x:c r="O55" s="19" t="str">
        <x:v>Английский текст перенесён/нормализован по товарному блоку; русский текст требует редакторской проверки.</x:v>
      </x:c>
    </x:row>
    <x:row r="56">
      <x:c r="A56" s="18" t="str">
        <x:v>BIZON-FEAT-DSR177-02</x:v>
      </x:c>
      <x:c r="B56" s="18" t="str">
        <x:v>BIZON-MODEL-DSR177</x:v>
      </x:c>
      <x:c r="C56" s="18" t="str">
        <x:v>DSR177</x:v>
      </x:c>
      <x:c r="D56" s="18" t="n">
        <x:v>2</x:v>
      </x:c>
      <x:c r="E56" s="18" t="str">
        <x:v>handling</x:v>
      </x:c>
      <x:c r="F56" s="18" t="str">
        <x:v>Управляемость</x:v>
      </x:c>
      <x:c r="G56" s="18" t="str">
        <x:v>Редакционный перевод: Groove bottom steps and heat dissipation holes improve grip and driving force.</x:v>
      </x:c>
      <x:c r="H56" s="19" t="str">
        <x:v>Handling</x:v>
      </x:c>
      <x:c r="I56" s="19" t="str">
        <x:v>Groove bottom steps and heat dissipation holes improve grip and driving force.</x:v>
      </x:c>
      <x:c r="J56" s="18" t="str">
        <x:v>performance</x:v>
      </x:c>
      <x:c r="K56" s="28" t="b">
        <x:v>1</x:v>
      </x:c>
      <x:c r="L56" s="18" t="str">
        <x:v>source_only</x:v>
      </x:c>
      <x:c r="M56" s="19" t="n">
        <x:v>8</x:v>
      </x:c>
      <x:c r="N56" s="29" t="b">
        <x:v>1</x:v>
      </x:c>
      <x:c r="O56" s="19" t="str">
        <x:v>Английский текст перенесён/нормализован по товарному блоку; русский текст требует редакторской проверки.</x:v>
      </x:c>
    </x:row>
    <x:row r="57">
      <x:c r="A57" s="20" t="str">
        <x:v>BIZON-FEAT-DSR177-03</x:v>
      </x:c>
      <x:c r="B57" s="20" t="str">
        <x:v>BIZON-MODEL-DSR177</x:v>
      </x:c>
      <x:c r="C57" s="20" t="str">
        <x:v>DSR177</x:v>
      </x:c>
      <x:c r="D57" s="20" t="n">
        <x:v>3</x:v>
      </x:c>
      <x:c r="E57" s="20" t="str">
        <x:v>heavy-load</x:v>
      </x:c>
      <x:c r="F57" s="20" t="str">
        <x:v>Высокая грузоподъёмность</x:v>
      </x:c>
      <x:c r="G57" s="20" t="str">
        <x:v>Редакционный перевод: High strength steel wire carcass improves loading capacity.</x:v>
      </x:c>
      <x:c r="H57" s="19" t="str">
        <x:v>Heavy load</x:v>
      </x:c>
      <x:c r="I57" s="19" t="str">
        <x:v>High strength steel wire carcass improves loading capacity.</x:v>
      </x:c>
      <x:c r="J57" s="20" t="str">
        <x:v>technical</x:v>
      </x:c>
      <x:c r="K57" s="31" t="b">
        <x:v>1</x:v>
      </x:c>
      <x:c r="L57" s="20" t="str">
        <x:v>source_only</x:v>
      </x:c>
      <x:c r="M57" s="19" t="n">
        <x:v>8</x:v>
      </x:c>
      <x:c r="N57" s="29" t="b">
        <x:v>1</x:v>
      </x:c>
      <x:c r="O57" s="19" t="str">
        <x:v>Английский текст перенесён/нормализован по товарному блоку; русский текст требует редакторской проверки.</x:v>
      </x:c>
    </x:row>
    <x:row r="58">
      <x:c r="A58" s="18" t="str">
        <x:v>BIZON-FEAT-DSR830-01</x:v>
      </x:c>
      <x:c r="B58" s="18" t="str">
        <x:v>BIZON-MODEL-DSR830</x:v>
      </x:c>
      <x:c r="C58" s="18" t="str">
        <x:v>DSR830</x:v>
      </x:c>
      <x:c r="D58" s="18" t="n">
        <x:v>1</x:v>
      </x:c>
      <x:c r="E58" s="18" t="str">
        <x:v>handling</x:v>
      </x:c>
      <x:c r="F58" s="18" t="str">
        <x:v>Управляемость</x:v>
      </x:c>
      <x:c r="G58" s="18" t="str">
        <x:v>Редакционный перевод: Big block pattern is specially designed for mining road, providing better driving and grip performance with low heat generation.</x:v>
      </x:c>
      <x:c r="H58" s="19" t="str">
        <x:v>Handling</x:v>
      </x:c>
      <x:c r="I58" s="19" t="str">
        <x:v>Big block pattern is specially designed for mining road, providing better driving and grip performance with low heat generation.</x:v>
      </x:c>
      <x:c r="J58" s="18" t="str">
        <x:v>performance</x:v>
      </x:c>
      <x:c r="K58" s="28" t="b">
        <x:v>1</x:v>
      </x:c>
      <x:c r="L58" s="18" t="str">
        <x:v>source_only</x:v>
      </x:c>
      <x:c r="M58" s="19" t="n">
        <x:v>8</x:v>
      </x:c>
      <x:c r="N58" s="29" t="b">
        <x:v>1</x:v>
      </x:c>
      <x:c r="O58" s="19" t="str">
        <x:v>Английский текст перенесён/нормализован по товарному блоку; русский текст требует редакторской проверки.</x:v>
      </x:c>
    </x:row>
    <x:row r="59">
      <x:c r="A59" s="20" t="str">
        <x:v>BIZON-FEAT-DSR830-02</x:v>
      </x:c>
      <x:c r="B59" s="20" t="str">
        <x:v>BIZON-MODEL-DSR830</x:v>
      </x:c>
      <x:c r="C59" s="20" t="str">
        <x:v>DSR830</x:v>
      </x:c>
      <x:c r="D59" s="20" t="n">
        <x:v>2</x:v>
      </x:c>
      <x:c r="E59" s="20" t="str">
        <x:v>puncture-resistance</x:v>
      </x:c>
      <x:c r="F59" s="20" t="str">
        <x:v>Стойкость к проколам</x:v>
      </x:c>
      <x:c r="G59" s="20" t="str">
        <x:v>Редакционный перевод: Special mining tread compound provides anti-tear, anti-puncture and anti-wear performance.</x:v>
      </x:c>
      <x:c r="H59" s="19" t="str">
        <x:v>Puncture resistance</x:v>
      </x:c>
      <x:c r="I59" s="19" t="str">
        <x:v>Special mining tread compound provides anti-tear, anti-puncture and anti-wear performance.</x:v>
      </x:c>
      <x:c r="J59" s="20" t="str">
        <x:v>technical</x:v>
      </x:c>
      <x:c r="K59" s="31" t="b">
        <x:v>1</x:v>
      </x:c>
      <x:c r="L59" s="20" t="str">
        <x:v>source_only</x:v>
      </x:c>
      <x:c r="M59" s="19" t="n">
        <x:v>8</x:v>
      </x:c>
      <x:c r="N59" s="29" t="b">
        <x:v>1</x:v>
      </x:c>
      <x:c r="O59" s="19" t="str">
        <x:v>Английский текст перенесён/нормализован по товарному блоку; русский текст требует редакторской проверки.</x:v>
      </x:c>
    </x:row>
    <x:row r="60">
      <x:c r="A60" s="18" t="str">
        <x:v>BIZON-FEAT-DSR158-01</x:v>
      </x:c>
      <x:c r="B60" s="18" t="str">
        <x:v>BIZON-MODEL-DSR158</x:v>
      </x:c>
      <x:c r="C60" s="18" t="str">
        <x:v>DSR158</x:v>
      </x:c>
      <x:c r="D60" s="18" t="n">
        <x:v>1</x:v>
      </x:c>
      <x:c r="E60" s="18" t="str">
        <x:v>heavy-load</x:v>
      </x:c>
      <x:c r="F60" s="18" t="str">
        <x:v>Высокая грузоподъёмность</x:v>
      </x:c>
      <x:c r="G60" s="18" t="str">
        <x:v>Редакционный перевод: Strengthened bead design and improved steel wire strength increase loading performance.</x:v>
      </x:c>
      <x:c r="H60" s="19" t="str">
        <x:v>Heavy load</x:v>
      </x:c>
      <x:c r="I60" s="19" t="str">
        <x:v>Strengthened bead design and improved steel wire strength increase loading performance.</x:v>
      </x:c>
      <x:c r="J60" s="18" t="str">
        <x:v>technical</x:v>
      </x:c>
      <x:c r="K60" s="28" t="b">
        <x:v>1</x:v>
      </x:c>
      <x:c r="L60" s="18" t="str">
        <x:v>source_only</x:v>
      </x:c>
      <x:c r="M60" s="19" t="n">
        <x:v>9</x:v>
      </x:c>
      <x:c r="N60" s="29" t="b">
        <x:v>1</x:v>
      </x:c>
      <x:c r="O60" s="19" t="str">
        <x:v>Английский текст перенесён/нормализован по товарному блоку; русский текст требует редакторской проверки.</x:v>
      </x:c>
    </x:row>
    <x:row r="61">
      <x:c r="A61" s="20" t="str">
        <x:v>BIZON-FEAT-DSR158-02</x:v>
      </x:c>
      <x:c r="B61" s="20" t="str">
        <x:v>BIZON-MODEL-DSR158</x:v>
      </x:c>
      <x:c r="C61" s="20" t="str">
        <x:v>DSR158</x:v>
      </x:c>
      <x:c r="D61" s="20" t="n">
        <x:v>2</x:v>
      </x:c>
      <x:c r="E61" s="20" t="str">
        <x:v>self-cleaning</x:v>
      </x:c>
      <x:c r="F61" s="20" t="str">
        <x:v>Самоочищение</x:v>
      </x:c>
      <x:c r="G61" s="20" t="str">
        <x:v>Редакционный перевод: Small bulge in the bottom of grooves can effectively pop out stones.</x:v>
      </x:c>
      <x:c r="H61" s="19" t="str">
        <x:v>Self-cleaning</x:v>
      </x:c>
      <x:c r="I61" s="19" t="str">
        <x:v>Small bulge in the bottom of grooves can effectively pop out stones.</x:v>
      </x:c>
      <x:c r="J61" s="20" t="str">
        <x:v>performance</x:v>
      </x:c>
      <x:c r="K61" s="31" t="b">
        <x:v>1</x:v>
      </x:c>
      <x:c r="L61" s="20" t="str">
        <x:v>source_only</x:v>
      </x:c>
      <x:c r="M61" s="19" t="n">
        <x:v>9</x:v>
      </x:c>
      <x:c r="N61" s="29" t="b">
        <x:v>1</x:v>
      </x:c>
      <x:c r="O61" s="19" t="str">
        <x:v>Английский текст перенесён/нормализован по товарному блоку; русский текст требует редакторской проверки.</x:v>
      </x:c>
    </x:row>
    <x:row r="62">
      <x:c r="A62" s="18" t="str">
        <x:v>BIZON-FEAT-DSR158-03</x:v>
      </x:c>
      <x:c r="B62" s="18" t="str">
        <x:v>BIZON-MODEL-DSR158</x:v>
      </x:c>
      <x:c r="C62" s="18" t="str">
        <x:v>DSR158</x:v>
      </x:c>
      <x:c r="D62" s="18" t="n">
        <x:v>3</x:v>
      </x:c>
      <x:c r="E62" s="18" t="str">
        <x:v>anti-tear</x:v>
      </x:c>
      <x:c r="F62" s="18" t="str">
        <x:v>Стойкость к разрывам</x:v>
      </x:c>
      <x:c r="G62" s="18" t="str">
        <x:v>Редакционный перевод: RSS, silica and tear-resistant resin improve rubber strength and toughness.</x:v>
      </x:c>
      <x:c r="H62" s="19" t="str">
        <x:v>Anti-tear</x:v>
      </x:c>
      <x:c r="I62" s="19" t="str">
        <x:v>RSS, silica and tear-resistant resin improve rubber strength and toughness.</x:v>
      </x:c>
      <x:c r="J62" s="18" t="str">
        <x:v>performance</x:v>
      </x:c>
      <x:c r="K62" s="28" t="b">
        <x:v>1</x:v>
      </x:c>
      <x:c r="L62" s="18" t="str">
        <x:v>source_only</x:v>
      </x:c>
      <x:c r="M62" s="19" t="n">
        <x:v>9</x:v>
      </x:c>
      <x:c r="N62" s="29" t="b">
        <x:v>1</x:v>
      </x:c>
      <x:c r="O62" s="19" t="str">
        <x:v>Английский текст перенесён/нормализован по товарному блоку; русский текст требует редакторской проверки.</x:v>
      </x:c>
    </x:row>
    <x:row r="63">
      <x:c r="A63" s="20" t="str">
        <x:v>BIZON-FEAT-DSR188-01</x:v>
      </x:c>
      <x:c r="B63" s="20" t="str">
        <x:v>BIZON-MODEL-DSR188</x:v>
      </x:c>
      <x:c r="C63" s="20" t="str">
        <x:v>DSR188</x:v>
      </x:c>
      <x:c r="D63" s="20" t="n">
        <x:v>1</x:v>
      </x:c>
      <x:c r="E63" s="20" t="str">
        <x:v>heavy-load</x:v>
      </x:c>
      <x:c r="F63" s="20" t="str">
        <x:v>Высокая грузоподъёмность</x:v>
      </x:c>
      <x:c r="G63" s="20" t="str">
        <x:v>Редакционный перевод: High-strength steel cords improve loading capability.</x:v>
      </x:c>
      <x:c r="H63" s="19" t="str">
        <x:v>Heavy load</x:v>
      </x:c>
      <x:c r="I63" s="19" t="str">
        <x:v>High-strength steel cords improve loading capability.</x:v>
      </x:c>
      <x:c r="J63" s="20" t="str">
        <x:v>technical</x:v>
      </x:c>
      <x:c r="K63" s="31" t="b">
        <x:v>1</x:v>
      </x:c>
      <x:c r="L63" s="20" t="str">
        <x:v>source_only</x:v>
      </x:c>
      <x:c r="M63" s="19" t="n">
        <x:v>9</x:v>
      </x:c>
      <x:c r="N63" s="29" t="b">
        <x:v>1</x:v>
      </x:c>
      <x:c r="O63" s="19" t="str">
        <x:v>Английский текст перенесён/нормализован по товарному блоку; русский текст требует редакторской проверки.</x:v>
      </x:c>
    </x:row>
    <x:row r="64">
      <x:c r="A64" s="18" t="str">
        <x:v>BIZON-FEAT-DSR188-02</x:v>
      </x:c>
      <x:c r="B64" s="18" t="str">
        <x:v>BIZON-MODEL-DSR188</x:v>
      </x:c>
      <x:c r="C64" s="18" t="str">
        <x:v>DSR188</x:v>
      </x:c>
      <x:c r="D64" s="18" t="n">
        <x:v>2</x:v>
      </x:c>
      <x:c r="E64" s="18" t="str">
        <x:v>anti-wear</x:v>
      </x:c>
      <x:c r="F64" s="18" t="str">
        <x:v>Износостойкость</x:v>
      </x:c>
      <x:c r="G64" s="18" t="str">
        <x:v>Редакционный перевод: Anti-wear carbon black and silica make the rubber more wear resistant.</x:v>
      </x:c>
      <x:c r="H64" s="19" t="str">
        <x:v>Anti-wear</x:v>
      </x:c>
      <x:c r="I64" s="19" t="str">
        <x:v>Anti-wear carbon black and silica make the rubber more wear resistant.</x:v>
      </x:c>
      <x:c r="J64" s="18" t="str">
        <x:v>performance</x:v>
      </x:c>
      <x:c r="K64" s="28" t="b">
        <x:v>1</x:v>
      </x:c>
      <x:c r="L64" s="18" t="str">
        <x:v>source_only</x:v>
      </x:c>
      <x:c r="M64" s="19" t="n">
        <x:v>9</x:v>
      </x:c>
      <x:c r="N64" s="29" t="b">
        <x:v>1</x:v>
      </x:c>
      <x:c r="O64" s="19" t="str">
        <x:v>Английский текст перенесён/нормализован по товарному блоку; русский текст требует редакторской проверки.</x:v>
      </x:c>
    </x:row>
    <x:row r="65">
      <x:c r="A65" s="20" t="str">
        <x:v>BIZON-FEAT-DSR188-03</x:v>
      </x:c>
      <x:c r="B65" s="20" t="str">
        <x:v>BIZON-MODEL-DSR188</x:v>
      </x:c>
      <x:c r="C65" s="20" t="str">
        <x:v>DSR188</x:v>
      </x:c>
      <x:c r="D65" s="20" t="n">
        <x:v>3</x:v>
      </x:c>
      <x:c r="E65" s="20" t="str">
        <x:v>heat-dissipation</x:v>
      </x:c>
      <x:c r="F65" s="20" t="str">
        <x:v>Теплоотвод</x:v>
      </x:c>
      <x:c r="G65" s="20" t="str">
        <x:v>Редакционный перевод: Zig-zag pattern and open shoulder grooves improve steering performance and heat generation control.</x:v>
      </x:c>
      <x:c r="H65" s="19" t="str">
        <x:v>Heat dissipation</x:v>
      </x:c>
      <x:c r="I65" s="19" t="str">
        <x:v>Zig-zag pattern and open shoulder grooves improve steering performance and heat generation control.</x:v>
      </x:c>
      <x:c r="J65" s="20" t="str">
        <x:v>technical</x:v>
      </x:c>
      <x:c r="K65" s="31" t="b">
        <x:v>1</x:v>
      </x:c>
      <x:c r="L65" s="20" t="str">
        <x:v>source_only</x:v>
      </x:c>
      <x:c r="M65" s="19" t="n">
        <x:v>9</x:v>
      </x:c>
      <x:c r="N65" s="29" t="b">
        <x:v>1</x:v>
      </x:c>
      <x:c r="O65" s="19" t="str">
        <x:v>Английский текст перенесён/нормализован по товарному блоку; русский текст требует редакторской проверки.</x:v>
      </x:c>
    </x:row>
    <x:row r="66">
      <x:c r="A66" s="18" t="str">
        <x:v>BIZON-FEAT-TAX106-01</x:v>
      </x:c>
      <x:c r="B66" s="18" t="str">
        <x:v>BIZON-MODEL-TAX106</x:v>
      </x:c>
      <x:c r="C66" s="18" t="str">
        <x:v>TAX106</x:v>
      </x:c>
      <x:c r="D66" s="18" t="n">
        <x:v>1</x:v>
      </x:c>
      <x:c r="E66" s="18" t="str">
        <x:v>low-noise</x:v>
      </x:c>
      <x:c r="F66" s="18" t="str">
        <x:v>Низкий уровень шума</x:v>
      </x:c>
      <x:c r="G66" s="18" t="str">
        <x:v>Редакционный перевод: Optimizing the pattern pitch distribution reduces noise to 73 dB for more comfortable driving.</x:v>
      </x:c>
      <x:c r="H66" s="19" t="str">
        <x:v>Low noise</x:v>
      </x:c>
      <x:c r="I66" s="19" t="str">
        <x:v>Optimizing the pattern pitch distribution reduces noise to 73 dB for more comfortable driving.</x:v>
      </x:c>
      <x:c r="J66" s="18" t="str">
        <x:v>performance</x:v>
      </x:c>
      <x:c r="K66" s="28" t="b">
        <x:v>1</x:v>
      </x:c>
      <x:c r="L66" s="18" t="str">
        <x:v>source_only</x:v>
      </x:c>
      <x:c r="M66" s="19" t="n">
        <x:v>9</x:v>
      </x:c>
      <x:c r="N66" s="29" t="b">
        <x:v>1</x:v>
      </x:c>
      <x:c r="O66" s="19" t="str">
        <x:v>Английский текст перенесён/нормализован по товарному блоку; русский текст требует редакторской проверки.</x:v>
      </x:c>
    </x:row>
    <x:row r="67">
      <x:c r="A67" s="20" t="str">
        <x:v>BIZON-FEAT-TAX106-02</x:v>
      </x:c>
      <x:c r="B67" s="20" t="str">
        <x:v>BIZON-MODEL-TAX106</x:v>
      </x:c>
      <x:c r="C67" s="20" t="str">
        <x:v>TAX106</x:v>
      </x:c>
      <x:c r="D67" s="20" t="n">
        <x:v>2</x:v>
      </x:c>
      <x:c r="E67" s="20" t="str">
        <x:v>safety</x:v>
      </x:c>
      <x:c r="F67" s="20" t="str">
        <x:v>Безопасность</x:v>
      </x:c>
      <x:c r="G67" s="20" t="str">
        <x:v>Редакционный перевод: Strengthened carcass and belt structure improve safe driving.</x:v>
      </x:c>
      <x:c r="H67" s="19" t="str">
        <x:v>Safety</x:v>
      </x:c>
      <x:c r="I67" s="19" t="str">
        <x:v>Strengthened carcass and belt structure improve safe driving.</x:v>
      </x:c>
      <x:c r="J67" s="20" t="str">
        <x:v>safety</x:v>
      </x:c>
      <x:c r="K67" s="31" t="b">
        <x:v>1</x:v>
      </x:c>
      <x:c r="L67" s="20" t="str">
        <x:v>source_only</x:v>
      </x:c>
      <x:c r="M67" s="19" t="n">
        <x:v>9</x:v>
      </x:c>
      <x:c r="N67" s="29" t="b">
        <x:v>1</x:v>
      </x:c>
      <x:c r="O67" s="19" t="str">
        <x:v>Английский текст перенесён/нормализован по товарному блоку; русский текст требует редакторской проверки.</x:v>
      </x:c>
    </x:row>
    <x:row r="68">
      <x:c r="A68" s="18" t="str">
        <x:v>BIZON-FEAT-TAX106-03</x:v>
      </x:c>
      <x:c r="B68" s="18" t="str">
        <x:v>BIZON-MODEL-TAX106</x:v>
      </x:c>
      <x:c r="C68" s="18" t="str">
        <x:v>TAX106</x:v>
      </x:c>
      <x:c r="D68" s="18" t="n">
        <x:v>3</x:v>
      </x:c>
      <x:c r="E68" s="18" t="str">
        <x:v>economy</x:v>
      </x:c>
      <x:c r="F68" s="18" t="str">
        <x:v>Экономичность</x:v>
      </x:c>
      <x:c r="G68" s="18" t="str">
        <x:v>Редакционный перевод: Synthetic rubber NDBR and dispersed silica reduce rolling resistance and fuel consumption.</x:v>
      </x:c>
      <x:c r="H68" s="19" t="str">
        <x:v>Economy</x:v>
      </x:c>
      <x:c r="I68" s="19" t="str">
        <x:v>Synthetic rubber NDBR and dispersed silica reduce rolling resistance and fuel consumption.</x:v>
      </x:c>
      <x:c r="J68" s="18" t="str">
        <x:v>performance</x:v>
      </x:c>
      <x:c r="K68" s="28" t="b">
        <x:v>1</x:v>
      </x:c>
      <x:c r="L68" s="18" t="str">
        <x:v>source_only</x:v>
      </x:c>
      <x:c r="M68" s="19" t="n">
        <x:v>9</x:v>
      </x:c>
      <x:c r="N68" s="29" t="b">
        <x:v>1</x:v>
      </x:c>
      <x:c r="O68" s="19" t="str">
        <x:v>Английский текст перенесён/нормализован по товарному блоку; русский текст требует редакторской проверки.</x:v>
      </x:c>
    </x:row>
    <x:row r="69">
      <x:c r="A69" s="20" t="str">
        <x:v>BIZON-FEAT-TTX108-01</x:v>
      </x:c>
      <x:c r="B69" s="20" t="str">
        <x:v>BIZON-MODEL-TTX108</x:v>
      </x:c>
      <x:c r="C69" s="20" t="str">
        <x:v>TTX108</x:v>
      </x:c>
      <x:c r="D69" s="20" t="n">
        <x:v>1</x:v>
      </x:c>
      <x:c r="E69" s="20" t="str">
        <x:v>low-noise</x:v>
      </x:c>
      <x:c r="F69" s="20" t="str">
        <x:v>Низкий уровень шума</x:v>
      </x:c>
      <x:c r="G69" s="20" t="str">
        <x:v>Редакционный перевод: Optimizing the pattern pitch distribution reduces noise to 73 dB for more comfortable driving.</x:v>
      </x:c>
      <x:c r="H69" s="19" t="str">
        <x:v>Low noise</x:v>
      </x:c>
      <x:c r="I69" s="19" t="str">
        <x:v>Optimizing the pattern pitch distribution reduces noise to 73 dB for more comfortable driving.</x:v>
      </x:c>
      <x:c r="J69" s="20" t="str">
        <x:v>performance</x:v>
      </x:c>
      <x:c r="K69" s="31" t="b">
        <x:v>1</x:v>
      </x:c>
      <x:c r="L69" s="20" t="str">
        <x:v>source_only</x:v>
      </x:c>
      <x:c r="M69" s="19" t="n">
        <x:v>9</x:v>
      </x:c>
      <x:c r="N69" s="29" t="b">
        <x:v>1</x:v>
      </x:c>
      <x:c r="O69" s="19" t="str">
        <x:v>Английский текст перенесён/нормализован по товарному блоку; русский текст требует редакторской проверки.</x:v>
      </x:c>
    </x:row>
    <x:row r="70">
      <x:c r="A70" s="18" t="str">
        <x:v>BIZON-FEAT-TTX108-02</x:v>
      </x:c>
      <x:c r="B70" s="18" t="str">
        <x:v>BIZON-MODEL-TTX108</x:v>
      </x:c>
      <x:c r="C70" s="18" t="str">
        <x:v>TTX108</x:v>
      </x:c>
      <x:c r="D70" s="18" t="n">
        <x:v>2</x:v>
      </x:c>
      <x:c r="E70" s="18" t="str">
        <x:v>safety</x:v>
      </x:c>
      <x:c r="F70" s="18" t="str">
        <x:v>Безопасность</x:v>
      </x:c>
      <x:c r="G70" s="18" t="str">
        <x:v>Редакционный перевод: Strengthened carcass and belt structure improve safe driving.</x:v>
      </x:c>
      <x:c r="H70" s="19" t="str">
        <x:v>Safety</x:v>
      </x:c>
      <x:c r="I70" s="19" t="str">
        <x:v>Strengthened carcass and belt structure improve safe driving.</x:v>
      </x:c>
      <x:c r="J70" s="18" t="str">
        <x:v>safety</x:v>
      </x:c>
      <x:c r="K70" s="28" t="b">
        <x:v>1</x:v>
      </x:c>
      <x:c r="L70" s="18" t="str">
        <x:v>source_only</x:v>
      </x:c>
      <x:c r="M70" s="19" t="n">
        <x:v>9</x:v>
      </x:c>
      <x:c r="N70" s="29" t="b">
        <x:v>1</x:v>
      </x:c>
      <x:c r="O70" s="19" t="str">
        <x:v>Английский текст перенесён/нормализован по товарному блоку; русский текст требует редакторской проверки.</x:v>
      </x:c>
    </x:row>
    <x:row r="71">
      <x:c r="A71" s="20" t="str">
        <x:v>BIZON-FEAT-TTX108-03</x:v>
      </x:c>
      <x:c r="B71" s="20" t="str">
        <x:v>BIZON-MODEL-TTX108</x:v>
      </x:c>
      <x:c r="C71" s="20" t="str">
        <x:v>TTX108</x:v>
      </x:c>
      <x:c r="D71" s="20" t="n">
        <x:v>3</x:v>
      </x:c>
      <x:c r="E71" s="20" t="str">
        <x:v>economy</x:v>
      </x:c>
      <x:c r="F71" s="20" t="str">
        <x:v>Экономичность</x:v>
      </x:c>
      <x:c r="G71" s="20" t="str">
        <x:v>Редакционный перевод: Synthetic rubber NDBR and dispersed silica reduce rolling resistance and fuel consumption.</x:v>
      </x:c>
      <x:c r="H71" s="19" t="str">
        <x:v>Economy</x:v>
      </x:c>
      <x:c r="I71" s="19" t="str">
        <x:v>Synthetic rubber NDBR and dispersed silica reduce rolling resistance and fuel consumption.</x:v>
      </x:c>
      <x:c r="J71" s="20" t="str">
        <x:v>performance</x:v>
      </x:c>
      <x:c r="K71" s="31" t="b">
        <x:v>1</x:v>
      </x:c>
      <x:c r="L71" s="20" t="str">
        <x:v>source_only</x:v>
      </x:c>
      <x:c r="M71" s="19" t="n">
        <x:v>9</x:v>
      </x:c>
      <x:c r="N71" s="29" t="b">
        <x:v>1</x:v>
      </x:c>
      <x:c r="O71" s="19" t="str">
        <x:v>Английский текст перенесён/нормализован по товарному блоку; русский текст требует редакторской проверки.</x:v>
      </x:c>
    </x:row>
  </x:sheetData>
  <x:dataValidations count="3">
    <x:dataValidation type="list" sqref="J2:J71">
      <x:formula1>"technical,performance,construction,marketing,safety,durability,comfort"</x:formula1>
    </x:dataValidation>
    <x:dataValidation type="list" sqref="K2:K71">
      <x:formula1>"TRUE,FALSE"</x:formula1>
    </x:dataValidation>
    <x:dataValidation type="list" sqref="N2:N71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ff77b79bcc2436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18" hidden="0" customWidth="1"/>
    <x:col min="4" max="4" width="28" hidden="0" customWidth="1"/>
    <x:col min="5" max="5" width="11" hidden="0" customWidth="1"/>
    <x:col min="6" max="6" width="13" hidden="0" customWidth="1"/>
    <x:col min="7" max="7" width="17" hidden="0" customWidth="1"/>
    <x:col min="8" max="8" width="18" hidden="0" customWidth="1"/>
    <x:col min="9" max="9" width="18" hidden="0" customWidth="1"/>
    <x:col min="10" max="10" width="10" hidden="0" customWidth="1"/>
    <x:col min="11" max="11" width="14" hidden="0" customWidth="1"/>
    <x:col min="12" max="12" width="12" hidden="0" customWidth="1"/>
    <x:col min="13" max="13" width="12" hidden="0" customWidth="1"/>
    <x:col min="14" max="14" width="13" hidden="0" customWidth="1"/>
    <x:col min="15" max="15" width="24" hidden="0" customWidth="1"/>
    <x:col min="16" max="16" width="18" hidden="0" customWidth="1"/>
    <x:col min="17" max="17" width="10" hidden="0" customWidth="1"/>
    <x:col min="18" max="18" width="12" hidden="0" customWidth="1"/>
    <x:col min="19" max="19" width="10" hidden="0" customWidth="1"/>
    <x:col min="20" max="20" width="10" hidden="0" customWidth="1"/>
    <x:col min="21" max="21" width="10" hidden="0" customWidth="1"/>
    <x:col min="22" max="22" width="17" hidden="0" customWidth="1"/>
    <x:col min="23" max="23" width="21" hidden="0" customWidth="1"/>
    <x:col min="24" max="24" width="19" hidden="0" customWidth="1"/>
    <x:col min="25" max="25" width="13" hidden="0" customWidth="1"/>
    <x:col min="26" max="26" width="14" hidden="0" customWidth="1"/>
    <x:col min="27" max="27" width="10" hidden="0" customWidth="1"/>
    <x:col min="28" max="28" width="10" hidden="0" customWidth="1"/>
    <x:col min="29" max="29" width="18" hidden="0" customWidth="1"/>
    <x:col min="30" max="30" width="18" hidden="0" customWidth="1"/>
    <x:col min="31" max="31" width="14" hidden="0" customWidth="1"/>
    <x:col min="32" max="32" width="12" hidden="0" customWidth="1"/>
    <x:col min="33" max="33" width="14" hidden="0" customWidth="1"/>
    <x:col min="34" max="34" width="10" hidden="0" customWidth="1"/>
    <x:col min="35" max="35" width="10" hidden="0" customWidth="1"/>
    <x:col min="36" max="36" width="18" hidden="0" customWidth="1"/>
    <x:col min="37" max="37" width="12" hidden="0" customWidth="1"/>
    <x:col min="38" max="38" width="15" hidden="0" customWidth="1"/>
    <x:col min="39" max="39" width="28" hidden="0" customWidth="1"/>
  </x:cols>
  <x:sheetData>
    <x:row r="1" ht="34" customHeight="1">
      <x:c r="A1" s="17" t="str">
        <x:v>attribute_key</x:v>
      </x:c>
      <x:c r="B1" s="17" t="str">
        <x:v>label_ru</x:v>
      </x:c>
      <x:c r="C1" s="17" t="str">
        <x:v>label_en</x:v>
      </x:c>
      <x:c r="D1" s="17" t="str">
        <x:v>description_ru</x:v>
      </x:c>
      <x:c r="E1" s="17" t="str">
        <x:v>entity_scope</x:v>
      </x:c>
      <x:c r="F1" s="17" t="str">
        <x:v>category_scope</x:v>
      </x:c>
      <x:c r="G1" s="17" t="str">
        <x:v>payload_collection</x:v>
      </x:c>
      <x:c r="H1" s="17" t="str">
        <x:v>payload_field_path</x:v>
      </x:c>
      <x:c r="I1" s="17" t="str">
        <x:v>db_column</x:v>
      </x:c>
      <x:c r="J1" s="17" t="str">
        <x:v>data_type</x:v>
      </x:c>
      <x:c r="K1" s="17" t="str">
        <x:v>excel_data_type</x:v>
      </x:c>
      <x:c r="L1" s="17" t="str">
        <x:v>required</x:v>
      </x:c>
      <x:c r="M1" s="17" t="str">
        <x:v>nullable</x:v>
      </x:c>
      <x:c r="N1" s="17" t="str">
        <x:v>canonical_unit</x:v>
      </x:c>
      <x:c r="O1" s="17" t="str">
        <x:v>source_unit</x:v>
      </x:c>
      <x:c r="P1" s="17" t="str">
        <x:v>enum_dictionary</x:v>
      </x:c>
      <x:c r="Q1" s="17" t="str">
        <x:v>filterable</x:v>
      </x:c>
      <x:c r="R1" s="17" t="str">
        <x:v>filter_type</x:v>
      </x:c>
      <x:c r="S1" s="17" t="str">
        <x:v>searchable</x:v>
      </x:c>
      <x:c r="T1" s="17" t="str">
        <x:v>sortable</x:v>
      </x:c>
      <x:c r="U1" s="17" t="str">
        <x:v>comparable</x:v>
      </x:c>
      <x:c r="V1" s="17" t="str">
        <x:v>visible_in_listing</x:v>
      </x:c>
      <x:c r="W1" s="17" t="str">
        <x:v>visible_in_product_card</x:v>
      </x:c>
      <x:c r="X1" s="17" t="str">
        <x:v>visible_in_comparison</x:v>
      </x:c>
      <x:c r="Y1" s="17" t="str">
        <x:v>visible_in_cms</x:v>
      </x:c>
      <x:c r="Z1" s="17" t="str">
        <x:v>editable_in_cms</x:v>
      </x:c>
      <x:c r="AA1" s="17" t="str">
        <x:v>importable</x:v>
      </x:c>
      <x:c r="AB1" s="17" t="str">
        <x:v>exportable</x:v>
      </x:c>
      <x:c r="AC1" s="17" t="str">
        <x:v>participates_in_sku</x:v>
      </x:c>
      <x:c r="AD1" s="17" t="str">
        <x:v>participates_in_url</x:v>
      </x:c>
      <x:c r="AE1" s="17" t="str">
        <x:v>query_parameter</x:v>
      </x:c>
      <x:c r="AF1" s="17" t="str">
        <x:v>seo_indexable</x:v>
      </x:c>
      <x:c r="AG1" s="17" t="str">
        <x:v>validation_rule</x:v>
      </x:c>
      <x:c r="AH1" s="17" t="str">
        <x:v>min_value</x:v>
      </x:c>
      <x:c r="AI1" s="17" t="str">
        <x:v>max_value</x:v>
      </x:c>
      <x:c r="AJ1" s="17" t="str">
        <x:v>display_group</x:v>
      </x:c>
      <x:c r="AK1" s="17" t="str">
        <x:v>display_order</x:v>
      </x:c>
      <x:c r="AL1" s="17" t="str">
        <x:v>null_behavior</x:v>
      </x:c>
      <x:c r="AM1" s="17" t="str">
        <x:v>notes</x:v>
      </x:c>
    </x:row>
    <x:row r="2">
      <x:c r="A2" s="18" t="str">
        <x:v>model_id</x:v>
      </x:c>
      <x:c r="B2" s="18" t="str">
        <x:v>ID модели</x:v>
      </x:c>
      <x:c r="C2" s="18" t="str">
        <x:v>Model ID</x:v>
      </x:c>
      <x:c r="D2" s="18" t="str">
        <x:v>ID модели: системное поле каталога BIZON.</x:v>
      </x:c>
      <x:c r="E2" s="18" t="str">
        <x:v>model</x:v>
      </x:c>
      <x:c r="F2" s="18" t="str">
        <x:v>TBR</x:v>
      </x:c>
      <x:c r="G2" s="18" t="str">
        <x:v>tire-models</x:v>
      </x:c>
      <x:c r="H2" s="18" t="str">
        <x:v>model_id</x:v>
      </x:c>
      <x:c r="I2" s="18" t="str">
        <x:v>model_id</x:v>
      </x:c>
      <x:c r="J2" s="18" t="str">
        <x:v>string</x:v>
      </x:c>
      <x:c r="K2" s="18" t="str">
        <x:v>string</x:v>
      </x:c>
      <x:c r="L2" s="28" t="b">
        <x:v>1</x:v>
      </x:c>
      <x:c r="M2" s="28" t="b">
        <x:v>0</x:v>
      </x:c>
      <x:c r="N2" s="18"/>
      <x:c r="O2" s="19"/>
      <x:c r="P2" s="18"/>
      <x:c r="Q2" s="28" t="b">
        <x:v>0</x:v>
      </x:c>
      <x:c r="R2" s="18" t="str">
        <x:v>none</x:v>
      </x:c>
      <x:c r="S2" s="28" t="b">
        <x:v>1</x:v>
      </x:c>
      <x:c r="T2" s="28" t="b">
        <x:v>1</x:v>
      </x:c>
      <x:c r="U2" s="28" t="b">
        <x:v>1</x:v>
      </x:c>
      <x:c r="V2" s="28" t="b">
        <x:v>0</x:v>
      </x:c>
      <x:c r="W2" s="28" t="b">
        <x:v>1</x:v>
      </x:c>
      <x:c r="X2" s="28" t="b">
        <x:v>1</x:v>
      </x:c>
      <x:c r="Y2" s="28" t="b">
        <x:v>1</x:v>
      </x:c>
      <x:c r="Z2" s="28" t="b">
        <x:v>1</x:v>
      </x:c>
      <x:c r="AA2" s="28" t="b">
        <x:v>1</x:v>
      </x:c>
      <x:c r="AB2" s="28" t="b">
        <x:v>1</x:v>
      </x:c>
      <x:c r="AC2" s="28" t="b">
        <x:v>1</x:v>
      </x:c>
      <x:c r="AD2" s="28" t="b">
        <x:v>0</x:v>
      </x:c>
      <x:c r="AE2" s="18"/>
      <x:c r="AF2" s="28" t="b">
        <x:v>0</x:v>
      </x:c>
      <x:c r="AG2" s="18" t="str">
        <x:v>required</x:v>
      </x:c>
      <x:c r="AH2" s="18"/>
      <x:c r="AI2" s="18"/>
      <x:c r="AJ2" s="18" t="str">
        <x:v>Идентификация</x:v>
      </x:c>
      <x:c r="AK2" s="18" t="n">
        <x:v>1</x:v>
      </x:c>
      <x:c r="AL2" s="18" t="str">
        <x:v>reject_or_review</x:v>
      </x:c>
      <x:c r="AM2" s="19" t="str">
        <x:v>Рекомендуемое расширение текущей схемы Payload; не считать уже реализованным.</x:v>
      </x:c>
    </x:row>
    <x:row r="3">
      <x:c r="A3" s="20" t="str">
        <x:v>public_brand</x:v>
      </x:c>
      <x:c r="B3" s="20" t="str">
        <x:v>Публичный бренд</x:v>
      </x:c>
      <x:c r="C3" s="20" t="str">
        <x:v>Public brand</x:v>
      </x:c>
      <x:c r="D3" s="20" t="str">
        <x:v>Публичный бренд: системное поле каталога BIZON.</x:v>
      </x:c>
      <x:c r="E3" s="20" t="str">
        <x:v>model</x:v>
      </x:c>
      <x:c r="F3" s="20" t="str">
        <x:v>TBR</x:v>
      </x:c>
      <x:c r="G3" s="20" t="str">
        <x:v>tire-models</x:v>
      </x:c>
      <x:c r="H3" s="20" t="str">
        <x:v>public_brand</x:v>
      </x:c>
      <x:c r="I3" s="20" t="str">
        <x:v>public_brand</x:v>
      </x:c>
      <x:c r="J3" s="20" t="str">
        <x:v>string</x:v>
      </x:c>
      <x:c r="K3" s="20" t="str">
        <x:v>string</x:v>
      </x:c>
      <x:c r="L3" s="31" t="b">
        <x:v>1</x:v>
      </x:c>
      <x:c r="M3" s="31" t="b">
        <x:v>0</x:v>
      </x:c>
      <x:c r="N3" s="20"/>
      <x:c r="O3" s="19"/>
      <x:c r="P3" s="20"/>
      <x:c r="Q3" s="31" t="b">
        <x:v>0</x:v>
      </x:c>
      <x:c r="R3" s="20" t="str">
        <x:v>none</x:v>
      </x:c>
      <x:c r="S3" s="31" t="b">
        <x:v>1</x:v>
      </x:c>
      <x:c r="T3" s="31" t="b">
        <x:v>1</x:v>
      </x:c>
      <x:c r="U3" s="31" t="b">
        <x:v>1</x:v>
      </x:c>
      <x:c r="V3" s="31" t="b">
        <x:v>0</x:v>
      </x:c>
      <x:c r="W3" s="31" t="b">
        <x:v>1</x:v>
      </x:c>
      <x:c r="X3" s="31" t="b">
        <x:v>1</x:v>
      </x:c>
      <x:c r="Y3" s="31" t="b">
        <x:v>1</x:v>
      </x:c>
      <x:c r="Z3" s="31" t="b">
        <x:v>1</x:v>
      </x:c>
      <x:c r="AA3" s="31" t="b">
        <x:v>1</x:v>
      </x:c>
      <x:c r="AB3" s="31" t="b">
        <x:v>1</x:v>
      </x:c>
      <x:c r="AC3" s="31" t="b">
        <x:v>0</x:v>
      </x:c>
      <x:c r="AD3" s="31" t="b">
        <x:v>0</x:v>
      </x:c>
      <x:c r="AE3" s="20"/>
      <x:c r="AF3" s="31" t="b">
        <x:v>0</x:v>
      </x:c>
      <x:c r="AG3" s="20" t="str">
        <x:v>required</x:v>
      </x:c>
      <x:c r="AH3" s="20"/>
      <x:c r="AI3" s="20"/>
      <x:c r="AJ3" s="20" t="str">
        <x:v>Идентификация</x:v>
      </x:c>
      <x:c r="AK3" s="20" t="n">
        <x:v>2</x:v>
      </x:c>
      <x:c r="AL3" s="20" t="str">
        <x:v>reject_or_review</x:v>
      </x:c>
      <x:c r="AM3" s="19" t="str">
        <x:v>Рекомендуемое расширение текущей схемы Payload; не считать уже реализованным.</x:v>
      </x:c>
    </x:row>
    <x:row r="4">
      <x:c r="A4" s="18" t="str">
        <x:v>source_brand</x:v>
      </x:c>
      <x:c r="B4" s="18" t="str">
        <x:v>Исходный бренд</x:v>
      </x:c>
      <x:c r="C4" s="18" t="str">
        <x:v>Source brand</x:v>
      </x:c>
      <x:c r="D4" s="18" t="str">
        <x:v>Исходный бренд: системное поле каталога BIZON.</x:v>
      </x:c>
      <x:c r="E4" s="18" t="str">
        <x:v>model</x:v>
      </x:c>
      <x:c r="F4" s="18" t="str">
        <x:v>TBR</x:v>
      </x:c>
      <x:c r="G4" s="18" t="str">
        <x:v>tire-models</x:v>
      </x:c>
      <x:c r="H4" s="18" t="str">
        <x:v>source_brand</x:v>
      </x:c>
      <x:c r="I4" s="18" t="str">
        <x:v>source_brand</x:v>
      </x:c>
      <x:c r="J4" s="18" t="str">
        <x:v>string</x:v>
      </x:c>
      <x:c r="K4" s="18" t="str">
        <x:v>string</x:v>
      </x:c>
      <x:c r="L4" s="28" t="b">
        <x:v>1</x:v>
      </x:c>
      <x:c r="M4" s="28" t="b">
        <x:v>0</x:v>
      </x:c>
      <x:c r="N4" s="18"/>
      <x:c r="O4" s="19"/>
      <x:c r="P4" s="18"/>
      <x:c r="Q4" s="28" t="b">
        <x:v>0</x:v>
      </x:c>
      <x:c r="R4" s="18" t="str">
        <x:v>none</x:v>
      </x:c>
      <x:c r="S4" s="28" t="b">
        <x:v>0</x:v>
      </x:c>
      <x:c r="T4" s="28" t="b">
        <x:v>0</x:v>
      </x:c>
      <x:c r="U4" s="28" t="b">
        <x:v>1</x:v>
      </x:c>
      <x:c r="V4" s="28" t="b">
        <x:v>0</x:v>
      </x:c>
      <x:c r="W4" s="28" t="b">
        <x:v>0</x:v>
      </x:c>
      <x:c r="X4" s="28" t="b">
        <x:v>1</x:v>
      </x:c>
      <x:c r="Y4" s="28" t="b">
        <x:v>1</x:v>
      </x:c>
      <x:c r="Z4" s="28" t="b">
        <x:v>1</x:v>
      </x:c>
      <x:c r="AA4" s="28" t="b">
        <x:v>1</x:v>
      </x:c>
      <x:c r="AB4" s="28" t="b">
        <x:v>1</x:v>
      </x:c>
      <x:c r="AC4" s="28" t="b">
        <x:v>0</x:v>
      </x:c>
      <x:c r="AD4" s="28" t="b">
        <x:v>0</x:v>
      </x:c>
      <x:c r="AE4" s="18"/>
      <x:c r="AF4" s="28" t="b">
        <x:v>0</x:v>
      </x:c>
      <x:c r="AG4" s="18" t="str">
        <x:v>required</x:v>
      </x:c>
      <x:c r="AH4" s="18"/>
      <x:c r="AI4" s="18"/>
      <x:c r="AJ4" s="18" t="str">
        <x:v>Источник</x:v>
      </x:c>
      <x:c r="AK4" s="18" t="n">
        <x:v>3</x:v>
      </x:c>
      <x:c r="AL4" s="18" t="str">
        <x:v>reject_or_review</x:v>
      </x:c>
      <x:c r="AM4" s="19" t="str">
        <x:v>Рекомендуемое расширение текущей схемы Payload; не считать уже реализованным.</x:v>
      </x:c>
    </x:row>
    <x:row r="5">
      <x:c r="A5" s="20" t="str">
        <x:v>model_code</x:v>
      </x:c>
      <x:c r="B5" s="20" t="str">
        <x:v>Код модели</x:v>
      </x:c>
      <x:c r="C5" s="20" t="str">
        <x:v>Model code</x:v>
      </x:c>
      <x:c r="D5" s="20" t="str">
        <x:v>Код модели: системное поле каталога BIZON.</x:v>
      </x:c>
      <x:c r="E5" s="20" t="str">
        <x:v>model</x:v>
      </x:c>
      <x:c r="F5" s="20" t="str">
        <x:v>TBR</x:v>
      </x:c>
      <x:c r="G5" s="20" t="str">
        <x:v>tire-models</x:v>
      </x:c>
      <x:c r="H5" s="20" t="str">
        <x:v>model_code</x:v>
      </x:c>
      <x:c r="I5" s="20" t="str">
        <x:v>model_code</x:v>
      </x:c>
      <x:c r="J5" s="20" t="str">
        <x:v>string</x:v>
      </x:c>
      <x:c r="K5" s="20" t="str">
        <x:v>string</x:v>
      </x:c>
      <x:c r="L5" s="31" t="b">
        <x:v>1</x:v>
      </x:c>
      <x:c r="M5" s="31" t="b">
        <x:v>0</x:v>
      </x:c>
      <x:c r="N5" s="20"/>
      <x:c r="O5" s="19"/>
      <x:c r="P5" s="20"/>
      <x:c r="Q5" s="31" t="b">
        <x:v>1</x:v>
      </x:c>
      <x:c r="R5" s="20" t="str">
        <x:v>search</x:v>
      </x:c>
      <x:c r="S5" s="31" t="b">
        <x:v>1</x:v>
      </x:c>
      <x:c r="T5" s="31" t="b">
        <x:v>1</x:v>
      </x:c>
      <x:c r="U5" s="31" t="b">
        <x:v>1</x:v>
      </x:c>
      <x:c r="V5" s="31" t="b">
        <x:v>1</x:v>
      </x:c>
      <x:c r="W5" s="31" t="b">
        <x:v>1</x:v>
      </x:c>
      <x:c r="X5" s="31" t="b">
        <x:v>1</x:v>
      </x:c>
      <x:c r="Y5" s="31" t="b">
        <x:v>1</x:v>
      </x:c>
      <x:c r="Z5" s="31" t="b">
        <x:v>1</x:v>
      </x:c>
      <x:c r="AA5" s="31" t="b">
        <x:v>1</x:v>
      </x:c>
      <x:c r="AB5" s="31" t="b">
        <x:v>1</x:v>
      </x:c>
      <x:c r="AC5" s="31" t="b">
        <x:v>0</x:v>
      </x:c>
      <x:c r="AD5" s="31" t="b">
        <x:v>0</x:v>
      </x:c>
      <x:c r="AE5" s="20"/>
      <x:c r="AF5" s="31" t="b">
        <x:v>1</x:v>
      </x:c>
      <x:c r="AG5" s="20" t="str">
        <x:v>required</x:v>
      </x:c>
      <x:c r="AH5" s="20"/>
      <x:c r="AI5" s="20"/>
      <x:c r="AJ5" s="20" t="str">
        <x:v>Идентификация</x:v>
      </x:c>
      <x:c r="AK5" s="20" t="n">
        <x:v>4</x:v>
      </x:c>
      <x:c r="AL5" s="20" t="str">
        <x:v>reject_or_review</x:v>
      </x:c>
      <x:c r="AM5" s="19" t="str">
        <x:v>Рекомендуемое расширение текущей схемы Payload; не считать уже реализованным.</x:v>
      </x:c>
    </x:row>
    <x:row r="6">
      <x:c r="A6" s="18" t="str">
        <x:v>slug</x:v>
      </x:c>
      <x:c r="B6" s="18" t="str">
        <x:v>Slug</x:v>
      </x:c>
      <x:c r="C6" s="18" t="str">
        <x:v>Slug</x:v>
      </x:c>
      <x:c r="D6" s="18" t="str">
        <x:v>Slug: системное поле каталога BIZON.</x:v>
      </x:c>
      <x:c r="E6" s="18" t="str">
        <x:v>model</x:v>
      </x:c>
      <x:c r="F6" s="18" t="str">
        <x:v>TBR</x:v>
      </x:c>
      <x:c r="G6" s="18" t="str">
        <x:v>tire-models</x:v>
      </x:c>
      <x:c r="H6" s="18" t="str">
        <x:v>slug</x:v>
      </x:c>
      <x:c r="I6" s="18" t="str">
        <x:v>slug</x:v>
      </x:c>
      <x:c r="J6" s="18" t="str">
        <x:v>string</x:v>
      </x:c>
      <x:c r="K6" s="18" t="str">
        <x:v>string</x:v>
      </x:c>
      <x:c r="L6" s="28" t="b">
        <x:v>1</x:v>
      </x:c>
      <x:c r="M6" s="28" t="b">
        <x:v>0</x:v>
      </x:c>
      <x:c r="N6" s="18"/>
      <x:c r="O6" s="19"/>
      <x:c r="P6" s="18"/>
      <x:c r="Q6" s="28" t="b">
        <x:v>1</x:v>
      </x:c>
      <x:c r="R6" s="18" t="str">
        <x:v>search</x:v>
      </x:c>
      <x:c r="S6" s="28" t="b">
        <x:v>1</x:v>
      </x:c>
      <x:c r="T6" s="28" t="b">
        <x:v>1</x:v>
      </x:c>
      <x:c r="U6" s="28" t="b">
        <x:v>1</x:v>
      </x:c>
      <x:c r="V6" s="28" t="b">
        <x:v>0</x:v>
      </x:c>
      <x:c r="W6" s="28" t="b">
        <x:v>1</x:v>
      </x:c>
      <x:c r="X6" s="28" t="b">
        <x:v>1</x:v>
      </x:c>
      <x:c r="Y6" s="28" t="b">
        <x:v>1</x:v>
      </x:c>
      <x:c r="Z6" s="28" t="b">
        <x:v>1</x:v>
      </x:c>
      <x:c r="AA6" s="28" t="b">
        <x:v>1</x:v>
      </x:c>
      <x:c r="AB6" s="28" t="b">
        <x:v>1</x:v>
      </x:c>
      <x:c r="AC6" s="28" t="b">
        <x:v>0</x:v>
      </x:c>
      <x:c r="AD6" s="28" t="b">
        <x:v>1</x:v>
      </x:c>
      <x:c r="AE6" s="18"/>
      <x:c r="AF6" s="28" t="b">
        <x:v>1</x:v>
      </x:c>
      <x:c r="AG6" s="18" t="str">
        <x:v>required</x:v>
      </x:c>
      <x:c r="AH6" s="18"/>
      <x:c r="AI6" s="18"/>
      <x:c r="AJ6" s="18" t="str">
        <x:v>Идентификация</x:v>
      </x:c>
      <x:c r="AK6" s="18" t="n">
        <x:v>5</x:v>
      </x:c>
      <x:c r="AL6" s="18" t="str">
        <x:v>reject_or_review</x:v>
      </x:c>
      <x:c r="AM6" s="19" t="str">
        <x:v>Соответствует текущему Payload-полю.</x:v>
      </x:c>
    </x:row>
    <x:row r="7">
      <x:c r="A7" s="20" t="str">
        <x:v>axle_positions</x:v>
      </x:c>
      <x:c r="B7" s="20" t="str">
        <x:v>Позиции оси</x:v>
      </x:c>
      <x:c r="C7" s="20" t="str">
        <x:v>Axle positions</x:v>
      </x:c>
      <x:c r="D7" s="20" t="str">
        <x:v>Позиции оси: системное поле каталога BIZON.</x:v>
      </x:c>
      <x:c r="E7" s="20" t="str">
        <x:v>model</x:v>
      </x:c>
      <x:c r="F7" s="20" t="str">
        <x:v>TBR</x:v>
      </x:c>
      <x:c r="G7" s="20" t="str">
        <x:v>tire-models</x:v>
      </x:c>
      <x:c r="H7" s="20" t="str">
        <x:v>axle_positions</x:v>
      </x:c>
      <x:c r="I7" s="20" t="str">
        <x:v>axle_positions</x:v>
      </x:c>
      <x:c r="J7" s="20" t="str">
        <x:v>array</x:v>
      </x:c>
      <x:c r="K7" s="20" t="str">
        <x:v>array</x:v>
      </x:c>
      <x:c r="L7" s="31" t="b">
        <x:v>1</x:v>
      </x:c>
      <x:c r="M7" s="31" t="b">
        <x:v>0</x:v>
      </x:c>
      <x:c r="N7" s="20"/>
      <x:c r="O7" s="19"/>
      <x:c r="P7" s="20" t="str">
        <x:v>axle_positions</x:v>
      </x:c>
      <x:c r="Q7" s="31" t="b">
        <x:v>1</x:v>
      </x:c>
      <x:c r="R7" s="20" t="str">
        <x:v>multi_select</x:v>
      </x:c>
      <x:c r="S7" s="31" t="b">
        <x:v>1</x:v>
      </x:c>
      <x:c r="T7" s="31" t="b">
        <x:v>1</x:v>
      </x:c>
      <x:c r="U7" s="31" t="b">
        <x:v>1</x:v>
      </x:c>
      <x:c r="V7" s="31" t="b">
        <x:v>0</x:v>
      </x:c>
      <x:c r="W7" s="31" t="b">
        <x:v>1</x:v>
      </x:c>
      <x:c r="X7" s="31" t="b">
        <x:v>1</x:v>
      </x:c>
      <x:c r="Y7" s="31" t="b">
        <x:v>1</x:v>
      </x:c>
      <x:c r="Z7" s="31" t="b">
        <x:v>1</x:v>
      </x:c>
      <x:c r="AA7" s="31" t="b">
        <x:v>1</x:v>
      </x:c>
      <x:c r="AB7" s="31" t="b">
        <x:v>1</x:v>
      </x:c>
      <x:c r="AC7" s="31" t="b">
        <x:v>0</x:v>
      </x:c>
      <x:c r="AD7" s="31" t="b">
        <x:v>0</x:v>
      </x:c>
      <x:c r="AE7" s="20"/>
      <x:c r="AF7" s="31" t="b">
        <x:v>0</x:v>
      </x:c>
      <x:c r="AG7" s="20" t="str">
        <x:v>required</x:v>
      </x:c>
      <x:c r="AH7" s="20"/>
      <x:c r="AI7" s="20"/>
      <x:c r="AJ7" s="20" t="str">
        <x:v>Позиция и применение</x:v>
      </x:c>
      <x:c r="AK7" s="20" t="n">
        <x:v>6</x:v>
      </x:c>
      <x:c r="AL7" s="20" t="str">
        <x:v>reject_or_review</x:v>
      </x:c>
      <x:c r="AM7" s="19" t="str">
        <x:v>Рекомендуемое расширение текущей схемы Payload; не считать уже реализованным.</x:v>
      </x:c>
    </x:row>
    <x:row r="8">
      <x:c r="A8" s="18" t="str">
        <x:v>application_types</x:v>
      </x:c>
      <x:c r="B8" s="18" t="str">
        <x:v>Назначения</x:v>
      </x:c>
      <x:c r="C8" s="18" t="str">
        <x:v>Application types</x:v>
      </x:c>
      <x:c r="D8" s="18" t="str">
        <x:v>Назначения: системное поле каталога BIZON.</x:v>
      </x:c>
      <x:c r="E8" s="18" t="str">
        <x:v>model</x:v>
      </x:c>
      <x:c r="F8" s="18" t="str">
        <x:v>TBR</x:v>
      </x:c>
      <x:c r="G8" s="18" t="str">
        <x:v>tire-models</x:v>
      </x:c>
      <x:c r="H8" s="18" t="str">
        <x:v>application_types</x:v>
      </x:c>
      <x:c r="I8" s="18" t="str">
        <x:v>application_types</x:v>
      </x:c>
      <x:c r="J8" s="18" t="str">
        <x:v>array</x:v>
      </x:c>
      <x:c r="K8" s="18" t="str">
        <x:v>array</x:v>
      </x:c>
      <x:c r="L8" s="28" t="b">
        <x:v>1</x:v>
      </x:c>
      <x:c r="M8" s="28" t="b">
        <x:v>0</x:v>
      </x:c>
      <x:c r="N8" s="18"/>
      <x:c r="O8" s="19"/>
      <x:c r="P8" s="18" t="str">
        <x:v>applications</x:v>
      </x:c>
      <x:c r="Q8" s="28" t="b">
        <x:v>1</x:v>
      </x:c>
      <x:c r="R8" s="18" t="str">
        <x:v>multi_select</x:v>
      </x:c>
      <x:c r="S8" s="28" t="b">
        <x:v>1</x:v>
      </x:c>
      <x:c r="T8" s="28" t="b">
        <x:v>1</x:v>
      </x:c>
      <x:c r="U8" s="28" t="b">
        <x:v>1</x:v>
      </x:c>
      <x:c r="V8" s="28" t="b">
        <x:v>0</x:v>
      </x:c>
      <x:c r="W8" s="28" t="b">
        <x:v>1</x:v>
      </x:c>
      <x:c r="X8" s="28" t="b">
        <x:v>1</x:v>
      </x:c>
      <x:c r="Y8" s="28" t="b">
        <x:v>1</x:v>
      </x:c>
      <x:c r="Z8" s="28" t="b">
        <x:v>1</x:v>
      </x:c>
      <x:c r="AA8" s="28" t="b">
        <x:v>1</x:v>
      </x:c>
      <x:c r="AB8" s="28" t="b">
        <x:v>1</x:v>
      </x:c>
      <x:c r="AC8" s="28" t="b">
        <x:v>0</x:v>
      </x:c>
      <x:c r="AD8" s="28" t="b">
        <x:v>0</x:v>
      </x:c>
      <x:c r="AE8" s="18"/>
      <x:c r="AF8" s="28" t="b">
        <x:v>0</x:v>
      </x:c>
      <x:c r="AG8" s="18" t="str">
        <x:v>required</x:v>
      </x:c>
      <x:c r="AH8" s="18"/>
      <x:c r="AI8" s="18"/>
      <x:c r="AJ8" s="18" t="str">
        <x:v>Позиция и применение</x:v>
      </x:c>
      <x:c r="AK8" s="18" t="n">
        <x:v>7</x:v>
      </x:c>
      <x:c r="AL8" s="18" t="str">
        <x:v>reject_or_review</x:v>
      </x:c>
      <x:c r="AM8" s="19" t="str">
        <x:v>Рекомендуемое расширение текущей схемы Payload; не считать уже реализованным.</x:v>
      </x:c>
    </x:row>
    <x:row r="9">
      <x:c r="A9" s="20" t="str">
        <x:v>performance_features</x:v>
      </x:c>
      <x:c r="B9" s="20" t="str">
        <x:v>Преимущества</x:v>
      </x:c>
      <x:c r="C9" s="20" t="str">
        <x:v>Performance features</x:v>
      </x:c>
      <x:c r="D9" s="20" t="str">
        <x:v>Преимущества: системное поле каталога BIZON.</x:v>
      </x:c>
      <x:c r="E9" s="20" t="str">
        <x:v>model</x:v>
      </x:c>
      <x:c r="F9" s="20" t="str">
        <x:v>TBR</x:v>
      </x:c>
      <x:c r="G9" s="20" t="str">
        <x:v>tire-models</x:v>
      </x:c>
      <x:c r="H9" s="20" t="str">
        <x:v>performance_features</x:v>
      </x:c>
      <x:c r="I9" s="20" t="str">
        <x:v>performance_features</x:v>
      </x:c>
      <x:c r="J9" s="20" t="str">
        <x:v>array</x:v>
      </x:c>
      <x:c r="K9" s="20" t="str">
        <x:v>array</x:v>
      </x:c>
      <x:c r="L9" s="31" t="b">
        <x:v>0</x:v>
      </x:c>
      <x:c r="M9" s="31" t="b">
        <x:v>1</x:v>
      </x:c>
      <x:c r="N9" s="20"/>
      <x:c r="O9" s="19"/>
      <x:c r="P9" s="20" t="str">
        <x:v>performance_features</x:v>
      </x:c>
      <x:c r="Q9" s="31" t="b">
        <x:v>1</x:v>
      </x:c>
      <x:c r="R9" s="20" t="str">
        <x:v>multi_select</x:v>
      </x:c>
      <x:c r="S9" s="31" t="b">
        <x:v>1</x:v>
      </x:c>
      <x:c r="T9" s="31" t="b">
        <x:v>0</x:v>
      </x:c>
      <x:c r="U9" s="31" t="b">
        <x:v>1</x:v>
      </x:c>
      <x:c r="V9" s="31" t="b">
        <x:v>0</x:v>
      </x:c>
      <x:c r="W9" s="31" t="b">
        <x:v>1</x:v>
      </x:c>
      <x:c r="X9" s="31" t="b">
        <x:v>1</x:v>
      </x:c>
      <x:c r="Y9" s="31" t="b">
        <x:v>1</x:v>
      </x:c>
      <x:c r="Z9" s="31" t="b">
        <x:v>1</x:v>
      </x:c>
      <x:c r="AA9" s="31" t="b">
        <x:v>1</x:v>
      </x:c>
      <x:c r="AB9" s="31" t="b">
        <x:v>1</x:v>
      </x:c>
      <x:c r="AC9" s="31" t="b">
        <x:v>0</x:v>
      </x:c>
      <x:c r="AD9" s="31" t="b">
        <x:v>0</x:v>
      </x:c>
      <x:c r="AE9" s="20"/>
      <x:c r="AF9" s="31" t="b">
        <x:v>0</x:v>
      </x:c>
      <x:c r="AG9" s="20"/>
      <x:c r="AH9" s="20"/>
      <x:c r="AI9" s="20"/>
      <x:c r="AJ9" s="20" t="str">
        <x:v>Позиция и применение</x:v>
      </x:c>
      <x:c r="AK9" s="20" t="n">
        <x:v>8</x:v>
      </x:c>
      <x:c r="AL9" s="20" t="str">
        <x:v>omit</x:v>
      </x:c>
      <x:c r="AM9" s="19" t="str">
        <x:v>Рекомендуемое расширение текущей схемы Payload; не считать уже реализованным.</x:v>
      </x:c>
    </x:row>
    <x:row r="10">
      <x:c r="A10" s="18" t="str">
        <x:v>short_description_ru</x:v>
      </x:c>
      <x:c r="B10" s="18" t="str">
        <x:v>Краткое описание</x:v>
      </x:c>
      <x:c r="C10" s="18" t="str">
        <x:v>Short description RU</x:v>
      </x:c>
      <x:c r="D10" s="18" t="str">
        <x:v>Краткое описание: системное поле каталога BIZON.</x:v>
      </x:c>
      <x:c r="E10" s="18" t="str">
        <x:v>model</x:v>
      </x:c>
      <x:c r="F10" s="18" t="str">
        <x:v>TBR</x:v>
      </x:c>
      <x:c r="G10" s="18" t="str">
        <x:v>tire-models</x:v>
      </x:c>
      <x:c r="H10" s="18" t="str">
        <x:v>shortDescription</x:v>
      </x:c>
      <x:c r="I10" s="18" t="str">
        <x:v>short_description_ru</x:v>
      </x:c>
      <x:c r="J10" s="18" t="str">
        <x:v>string</x:v>
      </x:c>
      <x:c r="K10" s="18" t="str">
        <x:v>string</x:v>
      </x:c>
      <x:c r="L10" s="28" t="b">
        <x:v>0</x:v>
      </x:c>
      <x:c r="M10" s="28" t="b">
        <x:v>1</x:v>
      </x:c>
      <x:c r="N10" s="18"/>
      <x:c r="O10" s="19"/>
      <x:c r="P10" s="18"/>
      <x:c r="Q10" s="28" t="b">
        <x:v>0</x:v>
      </x:c>
      <x:c r="R10" s="18" t="str">
        <x:v>none</x:v>
      </x:c>
      <x:c r="S10" s="28" t="b">
        <x:v>1</x:v>
      </x:c>
      <x:c r="T10" s="28" t="b">
        <x:v>0</x:v>
      </x:c>
      <x:c r="U10" s="28" t="b">
        <x:v>1</x:v>
      </x:c>
      <x:c r="V10" s="28" t="b">
        <x:v>0</x:v>
      </x:c>
      <x:c r="W10" s="28" t="b">
        <x:v>1</x:v>
      </x:c>
      <x:c r="X10" s="28" t="b">
        <x:v>1</x:v>
      </x:c>
      <x:c r="Y10" s="28" t="b">
        <x:v>1</x:v>
      </x:c>
      <x:c r="Z10" s="28" t="b">
        <x:v>1</x:v>
      </x:c>
      <x:c r="AA10" s="28" t="b">
        <x:v>1</x:v>
      </x:c>
      <x:c r="AB10" s="28" t="b">
        <x:v>1</x:v>
      </x:c>
      <x:c r="AC10" s="28" t="b">
        <x:v>0</x:v>
      </x:c>
      <x:c r="AD10" s="28" t="b">
        <x:v>0</x:v>
      </x:c>
      <x:c r="AE10" s="18"/>
      <x:c r="AF10" s="28" t="b">
        <x:v>0</x:v>
      </x:c>
      <x:c r="AG10" s="18"/>
      <x:c r="AH10" s="18"/>
      <x:c r="AI10" s="18"/>
      <x:c r="AJ10" s="18" t="str">
        <x:v>Контент</x:v>
      </x:c>
      <x:c r="AK10" s="18" t="n">
        <x:v>9</x:v>
      </x:c>
      <x:c r="AL10" s="18" t="str">
        <x:v>omit</x:v>
      </x:c>
      <x:c r="AM10" s="19" t="str">
        <x:v>Соответствует текущему Payload-полю.</x:v>
      </x:c>
    </x:row>
    <x:row r="11">
      <x:c r="A11" s="20" t="str">
        <x:v>full_description_ru</x:v>
      </x:c>
      <x:c r="B11" s="20" t="str">
        <x:v>Полное описание</x:v>
      </x:c>
      <x:c r="C11" s="20" t="str">
        <x:v>Full description RU</x:v>
      </x:c>
      <x:c r="D11" s="20" t="str">
        <x:v>Полное описание: системное поле каталога BIZON.</x:v>
      </x:c>
      <x:c r="E11" s="20" t="str">
        <x:v>model</x:v>
      </x:c>
      <x:c r="F11" s="20" t="str">
        <x:v>TBR</x:v>
      </x:c>
      <x:c r="G11" s="20" t="str">
        <x:v>tire-models</x:v>
      </x:c>
      <x:c r="H11" s="20" t="str">
        <x:v>fullDescription</x:v>
      </x:c>
      <x:c r="I11" s="20" t="str">
        <x:v>full_description_ru</x:v>
      </x:c>
      <x:c r="J11" s="20" t="str">
        <x:v>richText</x:v>
      </x:c>
      <x:c r="K11" s="20" t="str">
        <x:v>string</x:v>
      </x:c>
      <x:c r="L11" s="31" t="b">
        <x:v>0</x:v>
      </x:c>
      <x:c r="M11" s="31" t="b">
        <x:v>1</x:v>
      </x:c>
      <x:c r="N11" s="20"/>
      <x:c r="O11" s="19"/>
      <x:c r="P11" s="20"/>
      <x:c r="Q11" s="31" t="b">
        <x:v>0</x:v>
      </x:c>
      <x:c r="R11" s="20" t="str">
        <x:v>none</x:v>
      </x:c>
      <x:c r="S11" s="31" t="b">
        <x:v>1</x:v>
      </x:c>
      <x:c r="T11" s="31" t="b">
        <x:v>0</x:v>
      </x:c>
      <x:c r="U11" s="31" t="b">
        <x:v>1</x:v>
      </x:c>
      <x:c r="V11" s="31" t="b">
        <x:v>0</x:v>
      </x:c>
      <x:c r="W11" s="31" t="b">
        <x:v>1</x:v>
      </x:c>
      <x:c r="X11" s="31" t="b">
        <x:v>1</x:v>
      </x:c>
      <x:c r="Y11" s="31" t="b">
        <x:v>1</x:v>
      </x:c>
      <x:c r="Z11" s="31" t="b">
        <x:v>1</x:v>
      </x:c>
      <x:c r="AA11" s="31" t="b">
        <x:v>1</x:v>
      </x:c>
      <x:c r="AB11" s="31" t="b">
        <x:v>1</x:v>
      </x:c>
      <x:c r="AC11" s="31" t="b">
        <x:v>0</x:v>
      </x:c>
      <x:c r="AD11" s="31" t="b">
        <x:v>0</x:v>
      </x:c>
      <x:c r="AE11" s="20"/>
      <x:c r="AF11" s="31" t="b">
        <x:v>0</x:v>
      </x:c>
      <x:c r="AG11" s="20"/>
      <x:c r="AH11" s="20"/>
      <x:c r="AI11" s="20"/>
      <x:c r="AJ11" s="20" t="str">
        <x:v>Контент</x:v>
      </x:c>
      <x:c r="AK11" s="20" t="n">
        <x:v>10</x:v>
      </x:c>
      <x:c r="AL11" s="20" t="str">
        <x:v>omit</x:v>
      </x:c>
      <x:c r="AM11" s="19" t="str">
        <x:v>Соответствует текущему Payload-полю.</x:v>
      </x:c>
    </x:row>
    <x:row r="12">
      <x:c r="A12" s="18" t="str">
        <x:v>publication_status</x:v>
      </x:c>
      <x:c r="B12" s="18" t="str">
        <x:v>Статус публикации</x:v>
      </x:c>
      <x:c r="C12" s="18" t="str">
        <x:v>Publication status</x:v>
      </x:c>
      <x:c r="D12" s="18" t="str">
        <x:v>Статус публикации: системное поле каталога BIZON.</x:v>
      </x:c>
      <x:c r="E12" s="18" t="str">
        <x:v>model</x:v>
      </x:c>
      <x:c r="F12" s="18" t="str">
        <x:v>TBR</x:v>
      </x:c>
      <x:c r="G12" s="18" t="str">
        <x:v>tire-models</x:v>
      </x:c>
      <x:c r="H12" s="18" t="str">
        <x:v>status</x:v>
      </x:c>
      <x:c r="I12" s="18" t="str">
        <x:v>publication_status</x:v>
      </x:c>
      <x:c r="J12" s="18" t="str">
        <x:v>enum</x:v>
      </x:c>
      <x:c r="K12" s="18" t="str">
        <x:v>enum</x:v>
      </x:c>
      <x:c r="L12" s="28" t="b">
        <x:v>1</x:v>
      </x:c>
      <x:c r="M12" s="28" t="b">
        <x:v>0</x:v>
      </x:c>
      <x:c r="N12" s="18"/>
      <x:c r="O12" s="19"/>
      <x:c r="P12" s="18" t="str">
        <x:v>publication_status</x:v>
      </x:c>
      <x:c r="Q12" s="28" t="b">
        <x:v>0</x:v>
      </x:c>
      <x:c r="R12" s="18" t="str">
        <x:v>none</x:v>
      </x:c>
      <x:c r="S12" s="28" t="b">
        <x:v>0</x:v>
      </x:c>
      <x:c r="T12" s="28" t="b">
        <x:v>1</x:v>
      </x:c>
      <x:c r="U12" s="28" t="b">
        <x:v>1</x:v>
      </x:c>
      <x:c r="V12" s="28" t="b">
        <x:v>0</x:v>
      </x:c>
      <x:c r="W12" s="28" t="b">
        <x:v>1</x:v>
      </x:c>
      <x:c r="X12" s="28" t="b">
        <x:v>1</x:v>
      </x:c>
      <x:c r="Y12" s="28" t="b">
        <x:v>1</x:v>
      </x:c>
      <x:c r="Z12" s="28" t="b">
        <x:v>1</x:v>
      </x:c>
      <x:c r="AA12" s="28" t="b">
        <x:v>1</x:v>
      </x:c>
      <x:c r="AB12" s="28" t="b">
        <x:v>1</x:v>
      </x:c>
      <x:c r="AC12" s="28" t="b">
        <x:v>0</x:v>
      </x:c>
      <x:c r="AD12" s="28" t="b">
        <x:v>0</x:v>
      </x:c>
      <x:c r="AE12" s="18"/>
      <x:c r="AF12" s="28" t="b">
        <x:v>0</x:v>
      </x:c>
      <x:c r="AG12" s="18" t="str">
        <x:v>required</x:v>
      </x:c>
      <x:c r="AH12" s="18"/>
      <x:c r="AI12" s="18"/>
      <x:c r="AJ12" s="18" t="str">
        <x:v>Публикация</x:v>
      </x:c>
      <x:c r="AK12" s="18" t="n">
        <x:v>11</x:v>
      </x:c>
      <x:c r="AL12" s="18" t="str">
        <x:v>reject_or_review</x:v>
      </x:c>
      <x:c r="AM12" s="19" t="str">
        <x:v>Соответствует текущему Payload-полю.</x:v>
      </x:c>
    </x:row>
    <x:row r="13">
      <x:c r="A13" s="20" t="str">
        <x:v>variant_id</x:v>
      </x:c>
      <x:c r="B13" s="20" t="str">
        <x:v>ID варианта</x:v>
      </x:c>
      <x:c r="C13" s="20" t="str">
        <x:v>Variant ID</x:v>
      </x:c>
      <x:c r="D13" s="20" t="str">
        <x:v>ID варианта: системное поле каталога BIZON.</x:v>
      </x:c>
      <x:c r="E13" s="20" t="str">
        <x:v>variant</x:v>
      </x:c>
      <x:c r="F13" s="20" t="str">
        <x:v>TBR</x:v>
      </x:c>
      <x:c r="G13" s="20" t="str">
        <x:v>tire-variants</x:v>
      </x:c>
      <x:c r="H13" s="20" t="str">
        <x:v>variant_id</x:v>
      </x:c>
      <x:c r="I13" s="20" t="str">
        <x:v>variant_id</x:v>
      </x:c>
      <x:c r="J13" s="20" t="str">
        <x:v>string</x:v>
      </x:c>
      <x:c r="K13" s="20" t="str">
        <x:v>string</x:v>
      </x:c>
      <x:c r="L13" s="31" t="b">
        <x:v>1</x:v>
      </x:c>
      <x:c r="M13" s="31" t="b">
        <x:v>0</x:v>
      </x:c>
      <x:c r="N13" s="20"/>
      <x:c r="O13" s="19"/>
      <x:c r="P13" s="20"/>
      <x:c r="Q13" s="31" t="b">
        <x:v>0</x:v>
      </x:c>
      <x:c r="R13" s="20" t="str">
        <x:v>none</x:v>
      </x:c>
      <x:c r="S13" s="31" t="b">
        <x:v>1</x:v>
      </x:c>
      <x:c r="T13" s="31" t="b">
        <x:v>1</x:v>
      </x:c>
      <x:c r="U13" s="31" t="b">
        <x:v>1</x:v>
      </x:c>
      <x:c r="V13" s="31" t="b">
        <x:v>0</x:v>
      </x:c>
      <x:c r="W13" s="31" t="b">
        <x:v>1</x:v>
      </x:c>
      <x:c r="X13" s="31" t="b">
        <x:v>1</x:v>
      </x:c>
      <x:c r="Y13" s="31" t="b">
        <x:v>1</x:v>
      </x:c>
      <x:c r="Z13" s="31" t="b">
        <x:v>1</x:v>
      </x:c>
      <x:c r="AA13" s="31" t="b">
        <x:v>1</x:v>
      </x:c>
      <x:c r="AB13" s="31" t="b">
        <x:v>1</x:v>
      </x:c>
      <x:c r="AC13" s="31" t="b">
        <x:v>1</x:v>
      </x:c>
      <x:c r="AD13" s="31" t="b">
        <x:v>0</x:v>
      </x:c>
      <x:c r="AE13" s="20"/>
      <x:c r="AF13" s="31" t="b">
        <x:v>0</x:v>
      </x:c>
      <x:c r="AG13" s="20" t="str">
        <x:v>required</x:v>
      </x:c>
      <x:c r="AH13" s="20"/>
      <x:c r="AI13" s="20"/>
      <x:c r="AJ13" s="20" t="str">
        <x:v>Идентификация</x:v>
      </x:c>
      <x:c r="AK13" s="20" t="n">
        <x:v>12</x:v>
      </x:c>
      <x:c r="AL13" s="20" t="str">
        <x:v>reject_or_review</x:v>
      </x:c>
      <x:c r="AM13" s="19" t="str">
        <x:v>Рекомендуемое расширение текущей схемы Payload; не считать уже реализованным.</x:v>
      </x:c>
    </x:row>
    <x:row r="14">
      <x:c r="A14" s="18" t="str">
        <x:v>sku</x:v>
      </x:c>
      <x:c r="B14" s="18" t="str">
        <x:v>SKU</x:v>
      </x:c>
      <x:c r="C14" s="18" t="str">
        <x:v>SKU</x:v>
      </x:c>
      <x:c r="D14" s="18" t="str">
        <x:v>SKU: системное поле каталога BIZON.</x:v>
      </x:c>
      <x:c r="E14" s="18" t="str">
        <x:v>variant</x:v>
      </x:c>
      <x:c r="F14" s="18" t="str">
        <x:v>TBR</x:v>
      </x:c>
      <x:c r="G14" s="18" t="str">
        <x:v>tire-variants</x:v>
      </x:c>
      <x:c r="H14" s="18" t="str">
        <x:v>sku</x:v>
      </x:c>
      <x:c r="I14" s="18" t="str">
        <x:v>sku</x:v>
      </x:c>
      <x:c r="J14" s="18" t="str">
        <x:v>string</x:v>
      </x:c>
      <x:c r="K14" s="18" t="str">
        <x:v>string</x:v>
      </x:c>
      <x:c r="L14" s="28" t="b">
        <x:v>1</x:v>
      </x:c>
      <x:c r="M14" s="28" t="b">
        <x:v>0</x:v>
      </x:c>
      <x:c r="N14" s="18"/>
      <x:c r="O14" s="19"/>
      <x:c r="P14" s="18"/>
      <x:c r="Q14" s="28" t="b">
        <x:v>1</x:v>
      </x:c>
      <x:c r="R14" s="18" t="str">
        <x:v>search</x:v>
      </x:c>
      <x:c r="S14" s="28" t="b">
        <x:v>1</x:v>
      </x:c>
      <x:c r="T14" s="28" t="b">
        <x:v>1</x:v>
      </x:c>
      <x:c r="U14" s="28" t="b">
        <x:v>1</x:v>
      </x:c>
      <x:c r="V14" s="28" t="b">
        <x:v>0</x:v>
      </x:c>
      <x:c r="W14" s="28" t="b">
        <x:v>1</x:v>
      </x:c>
      <x:c r="X14" s="28" t="b">
        <x:v>1</x:v>
      </x:c>
      <x:c r="Y14" s="28" t="b">
        <x:v>1</x:v>
      </x:c>
      <x:c r="Z14" s="28" t="b">
        <x:v>1</x:v>
      </x:c>
      <x:c r="AA14" s="28" t="b">
        <x:v>1</x:v>
      </x:c>
      <x:c r="AB14" s="28" t="b">
        <x:v>1</x:v>
      </x:c>
      <x:c r="AC14" s="28" t="b">
        <x:v>1</x:v>
      </x:c>
      <x:c r="AD14" s="28" t="b">
        <x:v>0</x:v>
      </x:c>
      <x:c r="AE14" s="18"/>
      <x:c r="AF14" s="28" t="b">
        <x:v>0</x:v>
      </x:c>
      <x:c r="AG14" s="18" t="str">
        <x:v>required</x:v>
      </x:c>
      <x:c r="AH14" s="18"/>
      <x:c r="AI14" s="18"/>
      <x:c r="AJ14" s="18" t="str">
        <x:v>Идентификация</x:v>
      </x:c>
      <x:c r="AK14" s="18" t="n">
        <x:v>13</x:v>
      </x:c>
      <x:c r="AL14" s="18" t="str">
        <x:v>reject_or_review</x:v>
      </x:c>
      <x:c r="AM14" s="19" t="str">
        <x:v>Рекомендуемое расширение текущей схемы Payload; не считать уже реализованным.</x:v>
      </x:c>
    </x:row>
    <x:row r="15">
      <x:c r="A15" s="20" t="str">
        <x:v>size_raw</x:v>
      </x:c>
      <x:c r="B15" s="20" t="str">
        <x:v>Типоразмер</x:v>
      </x:c>
      <x:c r="C15" s="20" t="str">
        <x:v>Size</x:v>
      </x:c>
      <x:c r="D15" s="20" t="str">
        <x:v>Типоразмер: системное поле каталога BIZON.</x:v>
      </x:c>
      <x:c r="E15" s="20" t="str">
        <x:v>variant</x:v>
      </x:c>
      <x:c r="F15" s="20" t="str">
        <x:v>TBR</x:v>
      </x:c>
      <x:c r="G15" s="20" t="str">
        <x:v>tire-variants</x:v>
      </x:c>
      <x:c r="H15" s="20" t="str">
        <x:v>size</x:v>
      </x:c>
      <x:c r="I15" s="20" t="str">
        <x:v>size_raw</x:v>
      </x:c>
      <x:c r="J15" s="20" t="str">
        <x:v>string</x:v>
      </x:c>
      <x:c r="K15" s="20" t="str">
        <x:v>string</x:v>
      </x:c>
      <x:c r="L15" s="31" t="b">
        <x:v>1</x:v>
      </x:c>
      <x:c r="M15" s="31" t="b">
        <x:v>0</x:v>
      </x:c>
      <x:c r="N15" s="20"/>
      <x:c r="O15" s="19"/>
      <x:c r="P15" s="20"/>
      <x:c r="Q15" s="31" t="b">
        <x:v>1</x:v>
      </x:c>
      <x:c r="R15" s="20" t="str">
        <x:v>exact_size</x:v>
      </x:c>
      <x:c r="S15" s="31" t="b">
        <x:v>1</x:v>
      </x:c>
      <x:c r="T15" s="31" t="b">
        <x:v>1</x:v>
      </x:c>
      <x:c r="U15" s="31" t="b">
        <x:v>1</x:v>
      </x:c>
      <x:c r="V15" s="31" t="b">
        <x:v>1</x:v>
      </x:c>
      <x:c r="W15" s="31" t="b">
        <x:v>1</x:v>
      </x:c>
      <x:c r="X15" s="31" t="b">
        <x:v>1</x:v>
      </x:c>
      <x:c r="Y15" s="31" t="b">
        <x:v>1</x:v>
      </x:c>
      <x:c r="Z15" s="31" t="b">
        <x:v>1</x:v>
      </x:c>
      <x:c r="AA15" s="31" t="b">
        <x:v>1</x:v>
      </x:c>
      <x:c r="AB15" s="31" t="b">
        <x:v>1</x:v>
      </x:c>
      <x:c r="AC15" s="31" t="b">
        <x:v>1</x:v>
      </x:c>
      <x:c r="AD15" s="31" t="b">
        <x:v>1</x:v>
      </x:c>
      <x:c r="AE15" s="20" t="str">
        <x:v>size</x:v>
      </x:c>
      <x:c r="AF15" s="31" t="b">
        <x:v>0</x:v>
      </x:c>
      <x:c r="AG15" s="20" t="str">
        <x:v>required</x:v>
      </x:c>
      <x:c r="AH15" s="20"/>
      <x:c r="AI15" s="20"/>
      <x:c r="AJ15" s="20" t="str">
        <x:v>Типоразмер</x:v>
      </x:c>
      <x:c r="AK15" s="20" t="n">
        <x:v>14</x:v>
      </x:c>
      <x:c r="AL15" s="20" t="str">
        <x:v>reject_or_review</x:v>
      </x:c>
      <x:c r="AM15" s="19" t="str">
        <x:v>Соответствует текущему Payload-полю.</x:v>
      </x:c>
    </x:row>
    <x:row r="16">
      <x:c r="A16" s="18" t="str">
        <x:v>size_format</x:v>
      </x:c>
      <x:c r="B16" s="18" t="str">
        <x:v>Формат размера</x:v>
      </x:c>
      <x:c r="C16" s="18" t="str">
        <x:v>Size format</x:v>
      </x:c>
      <x:c r="D16" s="18" t="str">
        <x:v>Формат размера: системное поле каталога BIZON.</x:v>
      </x:c>
      <x:c r="E16" s="18" t="str">
        <x:v>variant</x:v>
      </x:c>
      <x:c r="F16" s="18" t="str">
        <x:v>TBR</x:v>
      </x:c>
      <x:c r="G16" s="18" t="str">
        <x:v>tire-variants</x:v>
      </x:c>
      <x:c r="H16" s="18" t="str">
        <x:v>size_format</x:v>
      </x:c>
      <x:c r="I16" s="18" t="str">
        <x:v>size_format</x:v>
      </x:c>
      <x:c r="J16" s="18" t="str">
        <x:v>enum</x:v>
      </x:c>
      <x:c r="K16" s="18" t="str">
        <x:v>enum</x:v>
      </x:c>
      <x:c r="L16" s="28" t="b">
        <x:v>1</x:v>
      </x:c>
      <x:c r="M16" s="28" t="b">
        <x:v>0</x:v>
      </x:c>
      <x:c r="N16" s="18"/>
      <x:c r="O16" s="19"/>
      <x:c r="P16" s="18" t="str">
        <x:v>size_format</x:v>
      </x:c>
      <x:c r="Q16" s="28" t="b">
        <x:v>1</x:v>
      </x:c>
      <x:c r="R16" s="18" t="str">
        <x:v>single_select</x:v>
      </x:c>
      <x:c r="S16" s="28" t="b">
        <x:v>0</x:v>
      </x:c>
      <x:c r="T16" s="28" t="b">
        <x:v>1</x:v>
      </x:c>
      <x:c r="U16" s="28" t="b">
        <x:v>1</x:v>
      </x:c>
      <x:c r="V16" s="28" t="b">
        <x:v>0</x:v>
      </x:c>
      <x:c r="W16" s="28" t="b">
        <x:v>1</x:v>
      </x:c>
      <x:c r="X16" s="28" t="b">
        <x:v>1</x:v>
      </x:c>
      <x:c r="Y16" s="28" t="b">
        <x:v>1</x:v>
      </x:c>
      <x:c r="Z16" s="28" t="b">
        <x:v>1</x:v>
      </x:c>
      <x:c r="AA16" s="28" t="b">
        <x:v>1</x:v>
      </x:c>
      <x:c r="AB16" s="28" t="b">
        <x:v>1</x:v>
      </x:c>
      <x:c r="AC16" s="28" t="b">
        <x:v>0</x:v>
      </x:c>
      <x:c r="AD16" s="28" t="b">
        <x:v>0</x:v>
      </x:c>
      <x:c r="AE16" s="18"/>
      <x:c r="AF16" s="28" t="b">
        <x:v>0</x:v>
      </x:c>
      <x:c r="AG16" s="18" t="str">
        <x:v>required</x:v>
      </x:c>
      <x:c r="AH16" s="18"/>
      <x:c r="AI16" s="18"/>
      <x:c r="AJ16" s="18" t="str">
        <x:v>Типоразмер</x:v>
      </x:c>
      <x:c r="AK16" s="18" t="n">
        <x:v>15</x:v>
      </x:c>
      <x:c r="AL16" s="18" t="str">
        <x:v>reject_or_review</x:v>
      </x:c>
      <x:c r="AM16" s="19" t="str">
        <x:v>Рекомендуемое расширение текущей схемы Payload; не считать уже реализованным.</x:v>
      </x:c>
    </x:row>
    <x:row r="17">
      <x:c r="A17" s="20" t="str">
        <x:v>nominal_width_mm</x:v>
      </x:c>
      <x:c r="B17" s="20" t="str">
        <x:v>Номинальная ширина</x:v>
      </x:c>
      <x:c r="C17" s="20" t="str">
        <x:v>Nominal width</x:v>
      </x:c>
      <x:c r="D17" s="20" t="str">
        <x:v>Номинальная ширина: системное поле каталога BIZON.</x:v>
      </x:c>
      <x:c r="E17" s="20" t="str">
        <x:v>variant</x:v>
      </x:c>
      <x:c r="F17" s="20" t="str">
        <x:v>TBR</x:v>
      </x:c>
      <x:c r="G17" s="20" t="str">
        <x:v>tire-variants</x:v>
      </x:c>
      <x:c r="H17" s="20" t="str">
        <x:v>sectionWidth</x:v>
      </x:c>
      <x:c r="I17" s="20" t="str">
        <x:v>nominal_width_mm</x:v>
      </x:c>
      <x:c r="J17" s="20" t="str">
        <x:v>integer</x:v>
      </x:c>
      <x:c r="K17" s="20" t="str">
        <x:v>integer</x:v>
      </x:c>
      <x:c r="L17" s="31" t="b">
        <x:v>0</x:v>
      </x:c>
      <x:c r="M17" s="31" t="b">
        <x:v>1</x:v>
      </x:c>
      <x:c r="N17" s="20" t="str">
        <x:v>mm</x:v>
      </x:c>
      <x:c r="O17" s="19"/>
      <x:c r="P17" s="20"/>
      <x:c r="Q17" s="31" t="b">
        <x:v>1</x:v>
      </x:c>
      <x:c r="R17" s="20" t="str">
        <x:v>multi_select</x:v>
      </x:c>
      <x:c r="S17" s="31" t="b">
        <x:v>0</x:v>
      </x:c>
      <x:c r="T17" s="31" t="b">
        <x:v>1</x:v>
      </x:c>
      <x:c r="U17" s="31" t="b">
        <x:v>1</x:v>
      </x:c>
      <x:c r="V17" s="31" t="b">
        <x:v>1</x:v>
      </x:c>
      <x:c r="W17" s="31" t="b">
        <x:v>1</x:v>
      </x:c>
      <x:c r="X17" s="31" t="b">
        <x:v>1</x:v>
      </x:c>
      <x:c r="Y17" s="31" t="b">
        <x:v>1</x:v>
      </x:c>
      <x:c r="Z17" s="31" t="b">
        <x:v>1</x:v>
      </x:c>
      <x:c r="AA17" s="31" t="b">
        <x:v>1</x:v>
      </x:c>
      <x:c r="AB17" s="31" t="b">
        <x:v>1</x:v>
      </x:c>
      <x:c r="AC17" s="31" t="b">
        <x:v>0</x:v>
      </x:c>
      <x:c r="AD17" s="31" t="b">
        <x:v>0</x:v>
      </x:c>
      <x:c r="AE17" s="20" t="str">
        <x:v>width</x:v>
      </x:c>
      <x:c r="AF17" s="31" t="b">
        <x:v>0</x:v>
      </x:c>
      <x:c r="AG17" s="20"/>
      <x:c r="AH17" s="20" t="n">
        <x:v>100</x:v>
      </x:c>
      <x:c r="AI17" s="20" t="n">
        <x:v>600</x:v>
      </x:c>
      <x:c r="AJ17" s="20" t="str">
        <x:v>Типоразмер</x:v>
      </x:c>
      <x:c r="AK17" s="20" t="n">
        <x:v>16</x:v>
      </x:c>
      <x:c r="AL17" s="20" t="str">
        <x:v>omit</x:v>
      </x:c>
      <x:c r="AM17" s="19" t="str">
        <x:v>Соответствует текущему Payload-полю.</x:v>
      </x:c>
    </x:row>
    <x:row r="18">
      <x:c r="A18" s="18" t="str">
        <x:v>imperial_width_in</x:v>
      </x:c>
      <x:c r="B18" s="18" t="str">
        <x:v>Ширина (дюймы)</x:v>
      </x:c>
      <x:c r="C18" s="18" t="str">
        <x:v>Imperial width</x:v>
      </x:c>
      <x:c r="D18" s="18" t="str">
        <x:v>Ширина (дюймы): системное поле каталога BIZON.</x:v>
      </x:c>
      <x:c r="E18" s="18" t="str">
        <x:v>variant</x:v>
      </x:c>
      <x:c r="F18" s="18" t="str">
        <x:v>TBR</x:v>
      </x:c>
      <x:c r="G18" s="18" t="str">
        <x:v>tire-variants</x:v>
      </x:c>
      <x:c r="H18" s="18" t="str">
        <x:v>imperial_width_in</x:v>
      </x:c>
      <x:c r="I18" s="18" t="str">
        <x:v>imperial_width_in</x:v>
      </x:c>
      <x:c r="J18" s="18" t="str">
        <x:v>decimal</x:v>
      </x:c>
      <x:c r="K18" s="18" t="str">
        <x:v>decimal</x:v>
      </x:c>
      <x:c r="L18" s="28" t="b">
        <x:v>0</x:v>
      </x:c>
      <x:c r="M18" s="28" t="b">
        <x:v>1</x:v>
      </x:c>
      <x:c r="N18" s="18" t="str">
        <x:v>inch</x:v>
      </x:c>
      <x:c r="O18" s="19"/>
      <x:c r="P18" s="18"/>
      <x:c r="Q18" s="28" t="b">
        <x:v>1</x:v>
      </x:c>
      <x:c r="R18" s="18" t="str">
        <x:v>multi_select</x:v>
      </x:c>
      <x:c r="S18" s="28" t="b">
        <x:v>0</x:v>
      </x:c>
      <x:c r="T18" s="28" t="b">
        <x:v>1</x:v>
      </x:c>
      <x:c r="U18" s="28" t="b">
        <x:v>1</x:v>
      </x:c>
      <x:c r="V18" s="28" t="b">
        <x:v>0</x:v>
      </x:c>
      <x:c r="W18" s="28" t="b">
        <x:v>1</x:v>
      </x:c>
      <x:c r="X18" s="28" t="b">
        <x:v>1</x:v>
      </x:c>
      <x:c r="Y18" s="28" t="b">
        <x:v>1</x:v>
      </x:c>
      <x:c r="Z18" s="28" t="b">
        <x:v>1</x:v>
      </x:c>
      <x:c r="AA18" s="28" t="b">
        <x:v>1</x:v>
      </x:c>
      <x:c r="AB18" s="28" t="b">
        <x:v>1</x:v>
      </x:c>
      <x:c r="AC18" s="28" t="b">
        <x:v>0</x:v>
      </x:c>
      <x:c r="AD18" s="28" t="b">
        <x:v>0</x:v>
      </x:c>
      <x:c r="AE18" s="18"/>
      <x:c r="AF18" s="28" t="b">
        <x:v>0</x:v>
      </x:c>
      <x:c r="AG18" s="18"/>
      <x:c r="AH18" s="18"/>
      <x:c r="AI18" s="18"/>
      <x:c r="AJ18" s="18" t="str">
        <x:v>Типоразмер</x:v>
      </x:c>
      <x:c r="AK18" s="18" t="n">
        <x:v>17</x:v>
      </x:c>
      <x:c r="AL18" s="18" t="str">
        <x:v>omit</x:v>
      </x:c>
      <x:c r="AM18" s="19" t="str">
        <x:v>Рекомендуемое расширение текущей схемы Payload; не считать уже реализованным.</x:v>
      </x:c>
    </x:row>
    <x:row r="19">
      <x:c r="A19" s="20" t="str">
        <x:v>aspect_ratio_pct</x:v>
      </x:c>
      <x:c r="B19" s="20" t="str">
        <x:v>Профиль</x:v>
      </x:c>
      <x:c r="C19" s="20" t="str">
        <x:v>Aspect ratio</x:v>
      </x:c>
      <x:c r="D19" s="20" t="str">
        <x:v>Профиль: системное поле каталога BIZON.</x:v>
      </x:c>
      <x:c r="E19" s="20" t="str">
        <x:v>variant</x:v>
      </x:c>
      <x:c r="F19" s="20" t="str">
        <x:v>TBR</x:v>
      </x:c>
      <x:c r="G19" s="20" t="str">
        <x:v>tire-variants</x:v>
      </x:c>
      <x:c r="H19" s="20" t="str">
        <x:v>aspectRatio</x:v>
      </x:c>
      <x:c r="I19" s="20" t="str">
        <x:v>aspect_ratio_pct</x:v>
      </x:c>
      <x:c r="J19" s="20" t="str">
        <x:v>integer</x:v>
      </x:c>
      <x:c r="K19" s="20" t="str">
        <x:v>integer</x:v>
      </x:c>
      <x:c r="L19" s="31" t="b">
        <x:v>0</x:v>
      </x:c>
      <x:c r="M19" s="31" t="b">
        <x:v>1</x:v>
      </x:c>
      <x:c r="N19" s="20" t="str">
        <x:v>%</x:v>
      </x:c>
      <x:c r="O19" s="19"/>
      <x:c r="P19" s="20"/>
      <x:c r="Q19" s="31" t="b">
        <x:v>1</x:v>
      </x:c>
      <x:c r="R19" s="20" t="str">
        <x:v>multi_select</x:v>
      </x:c>
      <x:c r="S19" s="31" t="b">
        <x:v>0</x:v>
      </x:c>
      <x:c r="T19" s="31" t="b">
        <x:v>1</x:v>
      </x:c>
      <x:c r="U19" s="31" t="b">
        <x:v>1</x:v>
      </x:c>
      <x:c r="V19" s="31" t="b">
        <x:v>0</x:v>
      </x:c>
      <x:c r="W19" s="31" t="b">
        <x:v>1</x:v>
      </x:c>
      <x:c r="X19" s="31" t="b">
        <x:v>1</x:v>
      </x:c>
      <x:c r="Y19" s="31" t="b">
        <x:v>1</x:v>
      </x:c>
      <x:c r="Z19" s="31" t="b">
        <x:v>1</x:v>
      </x:c>
      <x:c r="AA19" s="31" t="b">
        <x:v>1</x:v>
      </x:c>
      <x:c r="AB19" s="31" t="b">
        <x:v>1</x:v>
      </x:c>
      <x:c r="AC19" s="31" t="b">
        <x:v>0</x:v>
      </x:c>
      <x:c r="AD19" s="31" t="b">
        <x:v>0</x:v>
      </x:c>
      <x:c r="AE19" s="20" t="str">
        <x:v>aspect</x:v>
      </x:c>
      <x:c r="AF19" s="31" t="b">
        <x:v>0</x:v>
      </x:c>
      <x:c r="AG19" s="20"/>
      <x:c r="AH19" s="20"/>
      <x:c r="AI19" s="20"/>
      <x:c r="AJ19" s="20" t="str">
        <x:v>Типоразмер</x:v>
      </x:c>
      <x:c r="AK19" s="20" t="n">
        <x:v>18</x:v>
      </x:c>
      <x:c r="AL19" s="20" t="str">
        <x:v>omit</x:v>
      </x:c>
      <x:c r="AM19" s="19" t="str">
        <x:v>Соответствует текущему Payload-полю.</x:v>
      </x:c>
    </x:row>
    <x:row r="20">
      <x:c r="A20" s="18" t="str">
        <x:v>construction_code</x:v>
      </x:c>
      <x:c r="B20" s="18" t="str">
        <x:v>Код конструкции</x:v>
      </x:c>
      <x:c r="C20" s="18" t="str">
        <x:v>Construction code</x:v>
      </x:c>
      <x:c r="D20" s="18" t="str">
        <x:v>Код конструкции: системное поле каталога BIZON.</x:v>
      </x:c>
      <x:c r="E20" s="18" t="str">
        <x:v>variant</x:v>
      </x:c>
      <x:c r="F20" s="18" t="str">
        <x:v>TBR</x:v>
      </x:c>
      <x:c r="G20" s="18" t="str">
        <x:v>tire-variants</x:v>
      </x:c>
      <x:c r="H20" s="18" t="str">
        <x:v>construction_code</x:v>
      </x:c>
      <x:c r="I20" s="18" t="str">
        <x:v>construction_code</x:v>
      </x:c>
      <x:c r="J20" s="18" t="str">
        <x:v>enum</x:v>
      </x:c>
      <x:c r="K20" s="18" t="str">
        <x:v>enum</x:v>
      </x:c>
      <x:c r="L20" s="28" t="b">
        <x:v>1</x:v>
      </x:c>
      <x:c r="M20" s="28" t="b">
        <x:v>0</x:v>
      </x:c>
      <x:c r="N20" s="18"/>
      <x:c r="O20" s="19"/>
      <x:c r="P20" s="18" t="str">
        <x:v>construction_code</x:v>
      </x:c>
      <x:c r="Q20" s="28" t="b">
        <x:v>1</x:v>
      </x:c>
      <x:c r="R20" s="18" t="str">
        <x:v>single_select</x:v>
      </x:c>
      <x:c r="S20" s="28" t="b">
        <x:v>0</x:v>
      </x:c>
      <x:c r="T20" s="28" t="b">
        <x:v>1</x:v>
      </x:c>
      <x:c r="U20" s="28" t="b">
        <x:v>1</x:v>
      </x:c>
      <x:c r="V20" s="28" t="b">
        <x:v>0</x:v>
      </x:c>
      <x:c r="W20" s="28" t="b">
        <x:v>1</x:v>
      </x:c>
      <x:c r="X20" s="28" t="b">
        <x:v>1</x:v>
      </x:c>
      <x:c r="Y20" s="28" t="b">
        <x:v>1</x:v>
      </x:c>
      <x:c r="Z20" s="28" t="b">
        <x:v>1</x:v>
      </x:c>
      <x:c r="AA20" s="28" t="b">
        <x:v>1</x:v>
      </x:c>
      <x:c r="AB20" s="28" t="b">
        <x:v>1</x:v>
      </x:c>
      <x:c r="AC20" s="28" t="b">
        <x:v>0</x:v>
      </x:c>
      <x:c r="AD20" s="28" t="b">
        <x:v>0</x:v>
      </x:c>
      <x:c r="AE20" s="18"/>
      <x:c r="AF20" s="28" t="b">
        <x:v>0</x:v>
      </x:c>
      <x:c r="AG20" s="18" t="str">
        <x:v>required</x:v>
      </x:c>
      <x:c r="AH20" s="18"/>
      <x:c r="AI20" s="18"/>
      <x:c r="AJ20" s="18" t="str">
        <x:v>Конструкция</x:v>
      </x:c>
      <x:c r="AK20" s="18" t="n">
        <x:v>19</x:v>
      </x:c>
      <x:c r="AL20" s="18" t="str">
        <x:v>reject_or_review</x:v>
      </x:c>
      <x:c r="AM20" s="19" t="str">
        <x:v>Рекомендуемое расширение текущей схемы Payload; не считать уже реализованным.</x:v>
      </x:c>
    </x:row>
    <x:row r="21">
      <x:c r="A21" s="20" t="str">
        <x:v>rim_diameter_in</x:v>
      </x:c>
      <x:c r="B21" s="20" t="str">
        <x:v>Диаметр обода</x:v>
      </x:c>
      <x:c r="C21" s="20" t="str">
        <x:v>Rim diameter</x:v>
      </x:c>
      <x:c r="D21" s="20" t="str">
        <x:v>Диаметр обода: системное поле каталога BIZON.</x:v>
      </x:c>
      <x:c r="E21" s="20" t="str">
        <x:v>variant</x:v>
      </x:c>
      <x:c r="F21" s="20" t="str">
        <x:v>TBR</x:v>
      </x:c>
      <x:c r="G21" s="20" t="str">
        <x:v>tire-variants</x:v>
      </x:c>
      <x:c r="H21" s="20" t="str">
        <x:v>rimDiameter</x:v>
      </x:c>
      <x:c r="I21" s="20" t="str">
        <x:v>rim_diameter_in</x:v>
      </x:c>
      <x:c r="J21" s="20" t="str">
        <x:v>decimal</x:v>
      </x:c>
      <x:c r="K21" s="20" t="str">
        <x:v>decimal</x:v>
      </x:c>
      <x:c r="L21" s="31" t="b">
        <x:v>1</x:v>
      </x:c>
      <x:c r="M21" s="31" t="b">
        <x:v>0</x:v>
      </x:c>
      <x:c r="N21" s="20" t="str">
        <x:v>inch</x:v>
      </x:c>
      <x:c r="O21" s="19"/>
      <x:c r="P21" s="20"/>
      <x:c r="Q21" s="31" t="b">
        <x:v>1</x:v>
      </x:c>
      <x:c r="R21" s="20" t="str">
        <x:v>multi_select</x:v>
      </x:c>
      <x:c r="S21" s="31" t="b">
        <x:v>0</x:v>
      </x:c>
      <x:c r="T21" s="31" t="b">
        <x:v>1</x:v>
      </x:c>
      <x:c r="U21" s="31" t="b">
        <x:v>1</x:v>
      </x:c>
      <x:c r="V21" s="31" t="b">
        <x:v>1</x:v>
      </x:c>
      <x:c r="W21" s="31" t="b">
        <x:v>1</x:v>
      </x:c>
      <x:c r="X21" s="31" t="b">
        <x:v>1</x:v>
      </x:c>
      <x:c r="Y21" s="31" t="b">
        <x:v>1</x:v>
      </x:c>
      <x:c r="Z21" s="31" t="b">
        <x:v>1</x:v>
      </x:c>
      <x:c r="AA21" s="31" t="b">
        <x:v>1</x:v>
      </x:c>
      <x:c r="AB21" s="31" t="b">
        <x:v>1</x:v>
      </x:c>
      <x:c r="AC21" s="31" t="b">
        <x:v>0</x:v>
      </x:c>
      <x:c r="AD21" s="31" t="b">
        <x:v>0</x:v>
      </x:c>
      <x:c r="AE21" s="20" t="str">
        <x:v>rim</x:v>
      </x:c>
      <x:c r="AF21" s="31" t="b">
        <x:v>0</x:v>
      </x:c>
      <x:c r="AG21" s="20" t="str">
        <x:v>required</x:v>
      </x:c>
      <x:c r="AH21" s="20"/>
      <x:c r="AI21" s="20"/>
      <x:c r="AJ21" s="20" t="str">
        <x:v>Типоразмер</x:v>
      </x:c>
      <x:c r="AK21" s="20" t="n">
        <x:v>20</x:v>
      </x:c>
      <x:c r="AL21" s="20" t="str">
        <x:v>reject_or_review</x:v>
      </x:c>
      <x:c r="AM21" s="19" t="str">
        <x:v>Соответствует текущему Payload-полю.</x:v>
      </x:c>
    </x:row>
    <x:row r="22">
      <x:c r="A22" s="18" t="str">
        <x:v>ply_rating_pr</x:v>
      </x:c>
      <x:c r="B22" s="18" t="str">
        <x:v>Слойность PR</x:v>
      </x:c>
      <x:c r="C22" s="18" t="str">
        <x:v>Ply rating</x:v>
      </x:c>
      <x:c r="D22" s="18" t="str">
        <x:v>Слойность PR: системное поле каталога BIZON.</x:v>
      </x:c>
      <x:c r="E22" s="18" t="str">
        <x:v>variant</x:v>
      </x:c>
      <x:c r="F22" s="18" t="str">
        <x:v>TBR</x:v>
      </x:c>
      <x:c r="G22" s="18" t="str">
        <x:v>tire-variants</x:v>
      </x:c>
      <x:c r="H22" s="18" t="str">
        <x:v>plyRating</x:v>
      </x:c>
      <x:c r="I22" s="18" t="str">
        <x:v>ply_rating_pr</x:v>
      </x:c>
      <x:c r="J22" s="18" t="str">
        <x:v>integer</x:v>
      </x:c>
      <x:c r="K22" s="18" t="str">
        <x:v>integer</x:v>
      </x:c>
      <x:c r="L22" s="28" t="b">
        <x:v>1</x:v>
      </x:c>
      <x:c r="M22" s="28" t="b">
        <x:v>0</x:v>
      </x:c>
      <x:c r="N22" s="18" t="str">
        <x:v>PR</x:v>
      </x:c>
      <x:c r="O22" s="19"/>
      <x:c r="P22" s="18"/>
      <x:c r="Q22" s="28" t="b">
        <x:v>1</x:v>
      </x:c>
      <x:c r="R22" s="18" t="str">
        <x:v>multi_select</x:v>
      </x:c>
      <x:c r="S22" s="28" t="b">
        <x:v>0</x:v>
      </x:c>
      <x:c r="T22" s="28" t="b">
        <x:v>1</x:v>
      </x:c>
      <x:c r="U22" s="28" t="b">
        <x:v>1</x:v>
      </x:c>
      <x:c r="V22" s="28" t="b">
        <x:v>1</x:v>
      </x:c>
      <x:c r="W22" s="28" t="b">
        <x:v>1</x:v>
      </x:c>
      <x:c r="X22" s="28" t="b">
        <x:v>1</x:v>
      </x:c>
      <x:c r="Y22" s="28" t="b">
        <x:v>1</x:v>
      </x:c>
      <x:c r="Z22" s="28" t="b">
        <x:v>1</x:v>
      </x:c>
      <x:c r="AA22" s="28" t="b">
        <x:v>1</x:v>
      </x:c>
      <x:c r="AB22" s="28" t="b">
        <x:v>1</x:v>
      </x:c>
      <x:c r="AC22" s="28" t="b">
        <x:v>1</x:v>
      </x:c>
      <x:c r="AD22" s="28" t="b">
        <x:v>0</x:v>
      </x:c>
      <x:c r="AE22" s="18" t="str">
        <x:v>pr</x:v>
      </x:c>
      <x:c r="AF22" s="28" t="b">
        <x:v>0</x:v>
      </x:c>
      <x:c r="AG22" s="18" t="str">
        <x:v>required</x:v>
      </x:c>
      <x:c r="AH22" s="18"/>
      <x:c r="AI22" s="18"/>
      <x:c r="AJ22" s="18" t="str">
        <x:v>Конструкция</x:v>
      </x:c>
      <x:c r="AK22" s="18" t="n">
        <x:v>21</x:v>
      </x:c>
      <x:c r="AL22" s="18" t="str">
        <x:v>reject_or_review</x:v>
      </x:c>
      <x:c r="AM22" s="19" t="str">
        <x:v>Соответствует текущему Payload-полю.</x:v>
      </x:c>
    </x:row>
    <x:row r="23">
      <x:c r="A23" s="20" t="str">
        <x:v>tread_depth_mm</x:v>
      </x:c>
      <x:c r="B23" s="20" t="str">
        <x:v>Глубина протектора</x:v>
      </x:c>
      <x:c r="C23" s="20" t="str">
        <x:v>Tread depth</x:v>
      </x:c>
      <x:c r="D23" s="20" t="str">
        <x:v>Глубина протектора: системное поле каталога BIZON.</x:v>
      </x:c>
      <x:c r="E23" s="20" t="str">
        <x:v>variant</x:v>
      </x:c>
      <x:c r="F23" s="20" t="str">
        <x:v>TBR</x:v>
      </x:c>
      <x:c r="G23" s="20" t="str">
        <x:v>tire-variants</x:v>
      </x:c>
      <x:c r="H23" s="20" t="str">
        <x:v>tread_depth_mm</x:v>
      </x:c>
      <x:c r="I23" s="20" t="str">
        <x:v>tread_depth_mm</x:v>
      </x:c>
      <x:c r="J23" s="20" t="str">
        <x:v>decimal</x:v>
      </x:c>
      <x:c r="K23" s="20" t="str">
        <x:v>decimal</x:v>
      </x:c>
      <x:c r="L23" s="31" t="b">
        <x:v>1</x:v>
      </x:c>
      <x:c r="M23" s="31" t="b">
        <x:v>0</x:v>
      </x:c>
      <x:c r="N23" s="20" t="str">
        <x:v>mm</x:v>
      </x:c>
      <x:c r="O23" s="19"/>
      <x:c r="P23" s="20"/>
      <x:c r="Q23" s="31" t="b">
        <x:v>1</x:v>
      </x:c>
      <x:c r="R23" s="20" t="str">
        <x:v>numeric_range</x:v>
      </x:c>
      <x:c r="S23" s="31" t="b">
        <x:v>0</x:v>
      </x:c>
      <x:c r="T23" s="31" t="b">
        <x:v>1</x:v>
      </x:c>
      <x:c r="U23" s="31" t="b">
        <x:v>1</x:v>
      </x:c>
      <x:c r="V23" s="31" t="b">
        <x:v>0</x:v>
      </x:c>
      <x:c r="W23" s="31" t="b">
        <x:v>1</x:v>
      </x:c>
      <x:c r="X23" s="31" t="b">
        <x:v>1</x:v>
      </x:c>
      <x:c r="Y23" s="31" t="b">
        <x:v>1</x:v>
      </x:c>
      <x:c r="Z23" s="31" t="b">
        <x:v>1</x:v>
      </x:c>
      <x:c r="AA23" s="31" t="b">
        <x:v>1</x:v>
      </x:c>
      <x:c r="AB23" s="31" t="b">
        <x:v>1</x:v>
      </x:c>
      <x:c r="AC23" s="31" t="b">
        <x:v>0</x:v>
      </x:c>
      <x:c r="AD23" s="31" t="b">
        <x:v>0</x:v>
      </x:c>
      <x:c r="AE23" s="20" t="str">
        <x:v>treadDepth</x:v>
      </x:c>
      <x:c r="AF23" s="31" t="b">
        <x:v>0</x:v>
      </x:c>
      <x:c r="AG23" s="20" t="str">
        <x:v>required</x:v>
      </x:c>
      <x:c r="AH23" s="20"/>
      <x:c r="AI23" s="20"/>
      <x:c r="AJ23" s="20" t="str">
        <x:v>Конструкция</x:v>
      </x:c>
      <x:c r="AK23" s="20" t="n">
        <x:v>22</x:v>
      </x:c>
      <x:c r="AL23" s="20" t="str">
        <x:v>reject_or_review</x:v>
      </x:c>
      <x:c r="AM23" s="19" t="str">
        <x:v>Рекомендуемое расширение текущей схемы Payload; не считать уже реализованным.</x:v>
      </x:c>
    </x:row>
    <x:row r="24">
      <x:c r="A24" s="18" t="str">
        <x:v>standard_rim_in</x:v>
      </x:c>
      <x:c r="B24" s="18" t="str">
        <x:v>Стандартный обод</x:v>
      </x:c>
      <x:c r="C24" s="18" t="str">
        <x:v>Standard rim</x:v>
      </x:c>
      <x:c r="D24" s="18" t="str">
        <x:v>Стандартный обод: системное поле каталога BIZON.</x:v>
      </x:c>
      <x:c r="E24" s="18" t="str">
        <x:v>variant</x:v>
      </x:c>
      <x:c r="F24" s="18" t="str">
        <x:v>TBR</x:v>
      </x:c>
      <x:c r="G24" s="18" t="str">
        <x:v>tire-variants</x:v>
      </x:c>
      <x:c r="H24" s="18" t="str">
        <x:v>recommendedRim</x:v>
      </x:c>
      <x:c r="I24" s="18" t="str">
        <x:v>standard_rim_in</x:v>
      </x:c>
      <x:c r="J24" s="18" t="str">
        <x:v>decimal</x:v>
      </x:c>
      <x:c r="K24" s="18" t="str">
        <x:v>decimal</x:v>
      </x:c>
      <x:c r="L24" s="28" t="b">
        <x:v>1</x:v>
      </x:c>
      <x:c r="M24" s="28" t="b">
        <x:v>0</x:v>
      </x:c>
      <x:c r="N24" s="18" t="str">
        <x:v>inch</x:v>
      </x:c>
      <x:c r="O24" s="19"/>
      <x:c r="P24" s="18"/>
      <x:c r="Q24" s="28" t="b">
        <x:v>1</x:v>
      </x:c>
      <x:c r="R24" s="18" t="str">
        <x:v>multi_select</x:v>
      </x:c>
      <x:c r="S24" s="28" t="b">
        <x:v>0</x:v>
      </x:c>
      <x:c r="T24" s="28" t="b">
        <x:v>1</x:v>
      </x:c>
      <x:c r="U24" s="28" t="b">
        <x:v>1</x:v>
      </x:c>
      <x:c r="V24" s="28" t="b">
        <x:v>0</x:v>
      </x:c>
      <x:c r="W24" s="28" t="b">
        <x:v>1</x:v>
      </x:c>
      <x:c r="X24" s="28" t="b">
        <x:v>1</x:v>
      </x:c>
      <x:c r="Y24" s="28" t="b">
        <x:v>1</x:v>
      </x:c>
      <x:c r="Z24" s="28" t="b">
        <x:v>1</x:v>
      </x:c>
      <x:c r="AA24" s="28" t="b">
        <x:v>1</x:v>
      </x:c>
      <x:c r="AB24" s="28" t="b">
        <x:v>1</x:v>
      </x:c>
      <x:c r="AC24" s="28" t="b">
        <x:v>0</x:v>
      </x:c>
      <x:c r="AD24" s="28" t="b">
        <x:v>0</x:v>
      </x:c>
      <x:c r="AE24" s="18" t="str">
        <x:v>standardRim</x:v>
      </x:c>
      <x:c r="AF24" s="28" t="b">
        <x:v>0</x:v>
      </x:c>
      <x:c r="AG24" s="18" t="str">
        <x:v>required</x:v>
      </x:c>
      <x:c r="AH24" s="18"/>
      <x:c r="AI24" s="18"/>
      <x:c r="AJ24" s="18" t="str">
        <x:v>Конструкция</x:v>
      </x:c>
      <x:c r="AK24" s="18" t="n">
        <x:v>23</x:v>
      </x:c>
      <x:c r="AL24" s="18" t="str">
        <x:v>reject_or_review</x:v>
      </x:c>
      <x:c r="AM24" s="19" t="str">
        <x:v>Соответствует текущему Payload-полю.</x:v>
      </x:c>
    </x:row>
    <x:row r="25">
      <x:c r="A25" s="20" t="str">
        <x:v>pressure_single_kpa</x:v>
      </x:c>
      <x:c r="B25" s="20" t="str">
        <x:v>Давление single</x:v>
      </x:c>
      <x:c r="C25" s="20" t="str">
        <x:v>Pressure single</x:v>
      </x:c>
      <x:c r="D25" s="20" t="str">
        <x:v>Давление single: системное поле каталога BIZON.</x:v>
      </x:c>
      <x:c r="E25" s="20" t="str">
        <x:v>variant</x:v>
      </x:c>
      <x:c r="F25" s="20" t="str">
        <x:v>TBR</x:v>
      </x:c>
      <x:c r="G25" s="20" t="str">
        <x:v>tire-variants</x:v>
      </x:c>
      <x:c r="H25" s="20" t="str">
        <x:v>pressure_single_kpa</x:v>
      </x:c>
      <x:c r="I25" s="20" t="str">
        <x:v>pressure_single_kpa</x:v>
      </x:c>
      <x:c r="J25" s="20" t="str">
        <x:v>decimal</x:v>
      </x:c>
      <x:c r="K25" s="20" t="str">
        <x:v>decimal</x:v>
      </x:c>
      <x:c r="L25" s="31" t="b">
        <x:v>0</x:v>
      </x:c>
      <x:c r="M25" s="31" t="b">
        <x:v>1</x:v>
      </x:c>
      <x:c r="N25" s="20" t="str">
        <x:v>kPa</x:v>
      </x:c>
      <x:c r="O25" s="19" t="str">
        <x:v>PSI (source header; canonical data unit approved as kPa)</x:v>
      </x:c>
      <x:c r="P25" s="20"/>
      <x:c r="Q25" s="31" t="b">
        <x:v>1</x:v>
      </x:c>
      <x:c r="R25" s="20" t="str">
        <x:v>numeric_range</x:v>
      </x:c>
      <x:c r="S25" s="31" t="b">
        <x:v>0</x:v>
      </x:c>
      <x:c r="T25" s="31" t="b">
        <x:v>1</x:v>
      </x:c>
      <x:c r="U25" s="31" t="b">
        <x:v>1</x:v>
      </x:c>
      <x:c r="V25" s="31" t="b">
        <x:v>0</x:v>
      </x:c>
      <x:c r="W25" s="31" t="b">
        <x:v>1</x:v>
      </x:c>
      <x:c r="X25" s="31" t="b">
        <x:v>1</x:v>
      </x:c>
      <x:c r="Y25" s="31" t="b">
        <x:v>1</x:v>
      </x:c>
      <x:c r="Z25" s="31" t="b">
        <x:v>1</x:v>
      </x:c>
      <x:c r="AA25" s="31" t="b">
        <x:v>1</x:v>
      </x:c>
      <x:c r="AB25" s="31" t="b">
        <x:v>1</x:v>
      </x:c>
      <x:c r="AC25" s="31" t="b">
        <x:v>0</x:v>
      </x:c>
      <x:c r="AD25" s="31" t="b">
        <x:v>0</x:v>
      </x:c>
      <x:c r="AE25" s="20"/>
      <x:c r="AF25" s="31" t="b">
        <x:v>0</x:v>
      </x:c>
      <x:c r="AG25" s="20"/>
      <x:c r="AH25" s="20"/>
      <x:c r="AI25" s="20"/>
      <x:c r="AJ25" s="20" t="str">
        <x:v>Давление</x:v>
      </x:c>
      <x:c r="AK25" s="20" t="n">
        <x:v>24</x:v>
      </x:c>
      <x:c r="AL25" s="20" t="str">
        <x:v>omit</x:v>
      </x:c>
      <x:c r="AM25" s="19" t="str">
        <x:v>Рекомендуемое расширение текущей схемы Payload; не считать уже реализованным. Canonical unit approved by project owner on 2026-07-26.</x:v>
      </x:c>
    </x:row>
    <x:row r="26">
      <x:c r="A26" s="18" t="str">
        <x:v>pressure_dual_kpa</x:v>
      </x:c>
      <x:c r="B26" s="18" t="str">
        <x:v>Давление dual</x:v>
      </x:c>
      <x:c r="C26" s="18" t="str">
        <x:v>Pressure dual</x:v>
      </x:c>
      <x:c r="D26" s="18" t="str">
        <x:v>Давление dual: системное поле каталога BIZON.</x:v>
      </x:c>
      <x:c r="E26" s="18" t="str">
        <x:v>variant</x:v>
      </x:c>
      <x:c r="F26" s="18" t="str">
        <x:v>TBR</x:v>
      </x:c>
      <x:c r="G26" s="18" t="str">
        <x:v>tire-variants</x:v>
      </x:c>
      <x:c r="H26" s="18" t="str">
        <x:v>pressure_dual_kpa</x:v>
      </x:c>
      <x:c r="I26" s="18" t="str">
        <x:v>pressure_dual_kpa</x:v>
      </x:c>
      <x:c r="J26" s="18" t="str">
        <x:v>decimal</x:v>
      </x:c>
      <x:c r="K26" s="18" t="str">
        <x:v>decimal</x:v>
      </x:c>
      <x:c r="L26" s="28" t="b">
        <x:v>0</x:v>
      </x:c>
      <x:c r="M26" s="28" t="b">
        <x:v>1</x:v>
      </x:c>
      <x:c r="N26" s="18" t="str">
        <x:v>kPa</x:v>
      </x:c>
      <x:c r="O26" s="19" t="str">
        <x:v>PSI (source header; canonical data unit approved as kPa)</x:v>
      </x:c>
      <x:c r="P26" s="18"/>
      <x:c r="Q26" s="28" t="b">
        <x:v>1</x:v>
      </x:c>
      <x:c r="R26" s="18" t="str">
        <x:v>numeric_range</x:v>
      </x:c>
      <x:c r="S26" s="28" t="b">
        <x:v>0</x:v>
      </x:c>
      <x:c r="T26" s="28" t="b">
        <x:v>1</x:v>
      </x:c>
      <x:c r="U26" s="28" t="b">
        <x:v>1</x:v>
      </x:c>
      <x:c r="V26" s="28" t="b">
        <x:v>0</x:v>
      </x:c>
      <x:c r="W26" s="28" t="b">
        <x:v>1</x:v>
      </x:c>
      <x:c r="X26" s="28" t="b">
        <x:v>1</x:v>
      </x:c>
      <x:c r="Y26" s="28" t="b">
        <x:v>1</x:v>
      </x:c>
      <x:c r="Z26" s="28" t="b">
        <x:v>1</x:v>
      </x:c>
      <x:c r="AA26" s="28" t="b">
        <x:v>1</x:v>
      </x:c>
      <x:c r="AB26" s="28" t="b">
        <x:v>1</x:v>
      </x:c>
      <x:c r="AC26" s="28" t="b">
        <x:v>0</x:v>
      </x:c>
      <x:c r="AD26" s="28" t="b">
        <x:v>0</x:v>
      </x:c>
      <x:c r="AE26" s="18"/>
      <x:c r="AF26" s="28" t="b">
        <x:v>0</x:v>
      </x:c>
      <x:c r="AG26" s="18"/>
      <x:c r="AH26" s="18"/>
      <x:c r="AI26" s="18"/>
      <x:c r="AJ26" s="18" t="str">
        <x:v>Давление</x:v>
      </x:c>
      <x:c r="AK26" s="18" t="n">
        <x:v>25</x:v>
      </x:c>
      <x:c r="AL26" s="18" t="str">
        <x:v>omit</x:v>
      </x:c>
      <x:c r="AM26" s="19" t="str">
        <x:v>Рекомендуемое расширение текущей схемы Payload; не считать уже реализованным. Canonical unit approved by project owner on 2026-07-26.</x:v>
      </x:c>
    </x:row>
    <x:row r="27">
      <x:c r="A27" s="20" t="str">
        <x:v>max_load_single_kg</x:v>
      </x:c>
      <x:c r="B27" s="20" t="str">
        <x:v>Нагрузка single</x:v>
      </x:c>
      <x:c r="C27" s="20" t="str">
        <x:v>Max load single</x:v>
      </x:c>
      <x:c r="D27" s="20" t="str">
        <x:v>Нагрузка single: системное поле каталога BIZON.</x:v>
      </x:c>
      <x:c r="E27" s="20" t="str">
        <x:v>variant</x:v>
      </x:c>
      <x:c r="F27" s="20" t="str">
        <x:v>TBR</x:v>
      </x:c>
      <x:c r="G27" s="20" t="str">
        <x:v>tire-variants</x:v>
      </x:c>
      <x:c r="H27" s="20" t="str">
        <x:v>max_load_single_kg</x:v>
      </x:c>
      <x:c r="I27" s="20" t="str">
        <x:v>max_load_single_kg</x:v>
      </x:c>
      <x:c r="J27" s="20" t="str">
        <x:v>integer</x:v>
      </x:c>
      <x:c r="K27" s="20" t="str">
        <x:v>integer</x:v>
      </x:c>
      <x:c r="L27" s="31" t="b">
        <x:v>0</x:v>
      </x:c>
      <x:c r="M27" s="31" t="b">
        <x:v>1</x:v>
      </x:c>
      <x:c r="N27" s="20" t="str">
        <x:v>kg</x:v>
      </x:c>
      <x:c r="O27" s="19" t="str">
        <x:v>LBS (source header; canonical data unit approved as kg)</x:v>
      </x:c>
      <x:c r="P27" s="20"/>
      <x:c r="Q27" s="31" t="b">
        <x:v>1</x:v>
      </x:c>
      <x:c r="R27" s="20" t="str">
        <x:v>numeric_range</x:v>
      </x:c>
      <x:c r="S27" s="31" t="b">
        <x:v>0</x:v>
      </x:c>
      <x:c r="T27" s="31" t="b">
        <x:v>1</x:v>
      </x:c>
      <x:c r="U27" s="31" t="b">
        <x:v>1</x:v>
      </x:c>
      <x:c r="V27" s="31" t="b">
        <x:v>0</x:v>
      </x:c>
      <x:c r="W27" s="31" t="b">
        <x:v>1</x:v>
      </x:c>
      <x:c r="X27" s="31" t="b">
        <x:v>1</x:v>
      </x:c>
      <x:c r="Y27" s="31" t="b">
        <x:v>1</x:v>
      </x:c>
      <x:c r="Z27" s="31" t="b">
        <x:v>1</x:v>
      </x:c>
      <x:c r="AA27" s="31" t="b">
        <x:v>1</x:v>
      </x:c>
      <x:c r="AB27" s="31" t="b">
        <x:v>1</x:v>
      </x:c>
      <x:c r="AC27" s="31" t="b">
        <x:v>0</x:v>
      </x:c>
      <x:c r="AD27" s="31" t="b">
        <x:v>0</x:v>
      </x:c>
      <x:c r="AE27" s="20"/>
      <x:c r="AF27" s="31" t="b">
        <x:v>0</x:v>
      </x:c>
      <x:c r="AG27" s="20"/>
      <x:c r="AH27" s="20"/>
      <x:c r="AI27" s="20"/>
      <x:c r="AJ27" s="20" t="str">
        <x:v>Нагрузка и скорость</x:v>
      </x:c>
      <x:c r="AK27" s="20" t="n">
        <x:v>26</x:v>
      </x:c>
      <x:c r="AL27" s="20" t="str">
        <x:v>omit</x:v>
      </x:c>
      <x:c r="AM27" s="19" t="str">
        <x:v>Рекомендуемое расширение текущей схемы Payload; не считать уже реализованным. Canonical unit approved by project owner on 2026-07-26.</x:v>
      </x:c>
    </x:row>
    <x:row r="28">
      <x:c r="A28" s="18" t="str">
        <x:v>max_load_dual_kg</x:v>
      </x:c>
      <x:c r="B28" s="18" t="str">
        <x:v>Нагрузка dual</x:v>
      </x:c>
      <x:c r="C28" s="18" t="str">
        <x:v>Max load dual</x:v>
      </x:c>
      <x:c r="D28" s="18" t="str">
        <x:v>Нагрузка dual: системное поле каталога BIZON.</x:v>
      </x:c>
      <x:c r="E28" s="18" t="str">
        <x:v>variant</x:v>
      </x:c>
      <x:c r="F28" s="18" t="str">
        <x:v>TBR</x:v>
      </x:c>
      <x:c r="G28" s="18" t="str">
        <x:v>tire-variants</x:v>
      </x:c>
      <x:c r="H28" s="18" t="str">
        <x:v>max_load_dual_kg</x:v>
      </x:c>
      <x:c r="I28" s="18" t="str">
        <x:v>max_load_dual_kg</x:v>
      </x:c>
      <x:c r="J28" s="18" t="str">
        <x:v>integer</x:v>
      </x:c>
      <x:c r="K28" s="18" t="str">
        <x:v>integer</x:v>
      </x:c>
      <x:c r="L28" s="28" t="b">
        <x:v>0</x:v>
      </x:c>
      <x:c r="M28" s="28" t="b">
        <x:v>1</x:v>
      </x:c>
      <x:c r="N28" s="18" t="str">
        <x:v>kg</x:v>
      </x:c>
      <x:c r="O28" s="19" t="str">
        <x:v>LBS (source header; canonical data unit approved as kg)</x:v>
      </x:c>
      <x:c r="P28" s="18"/>
      <x:c r="Q28" s="28" t="b">
        <x:v>1</x:v>
      </x:c>
      <x:c r="R28" s="18" t="str">
        <x:v>numeric_range</x:v>
      </x:c>
      <x:c r="S28" s="28" t="b">
        <x:v>0</x:v>
      </x:c>
      <x:c r="T28" s="28" t="b">
        <x:v>1</x:v>
      </x:c>
      <x:c r="U28" s="28" t="b">
        <x:v>1</x:v>
      </x:c>
      <x:c r="V28" s="28" t="b">
        <x:v>0</x:v>
      </x:c>
      <x:c r="W28" s="28" t="b">
        <x:v>1</x:v>
      </x:c>
      <x:c r="X28" s="28" t="b">
        <x:v>1</x:v>
      </x:c>
      <x:c r="Y28" s="28" t="b">
        <x:v>1</x:v>
      </x:c>
      <x:c r="Z28" s="28" t="b">
        <x:v>1</x:v>
      </x:c>
      <x:c r="AA28" s="28" t="b">
        <x:v>1</x:v>
      </x:c>
      <x:c r="AB28" s="28" t="b">
        <x:v>1</x:v>
      </x:c>
      <x:c r="AC28" s="28" t="b">
        <x:v>0</x:v>
      </x:c>
      <x:c r="AD28" s="28" t="b">
        <x:v>0</x:v>
      </x:c>
      <x:c r="AE28" s="18"/>
      <x:c r="AF28" s="28" t="b">
        <x:v>0</x:v>
      </x:c>
      <x:c r="AG28" s="18"/>
      <x:c r="AH28" s="18"/>
      <x:c r="AI28" s="18"/>
      <x:c r="AJ28" s="18" t="str">
        <x:v>Нагрузка и скорость</x:v>
      </x:c>
      <x:c r="AK28" s="18" t="n">
        <x:v>27</x:v>
      </x:c>
      <x:c r="AL28" s="18" t="str">
        <x:v>omit</x:v>
      </x:c>
      <x:c r="AM28" s="19" t="str">
        <x:v>Рекомендуемое расширение текущей схемы Payload; не считать уже реализованным. Canonical unit approved by project owner on 2026-07-26.</x:v>
      </x:c>
    </x:row>
    <x:row r="29">
      <x:c r="A29" s="20" t="str">
        <x:v>load_index_single</x:v>
      </x:c>
      <x:c r="B29" s="20" t="str">
        <x:v>Индекс нагрузки single</x:v>
      </x:c>
      <x:c r="C29" s="20" t="str">
        <x:v>Load index single</x:v>
      </x:c>
      <x:c r="D29" s="20" t="str">
        <x:v>Индекс нагрузки single: системное поле каталога BIZON.</x:v>
      </x:c>
      <x:c r="E29" s="20" t="str">
        <x:v>variant</x:v>
      </x:c>
      <x:c r="F29" s="20" t="str">
        <x:v>TBR</x:v>
      </x:c>
      <x:c r="G29" s="20" t="str">
        <x:v>tire-variants</x:v>
      </x:c>
      <x:c r="H29" s="20" t="str">
        <x:v>loadIndex</x:v>
      </x:c>
      <x:c r="I29" s="20" t="str">
        <x:v>load_index_single</x:v>
      </x:c>
      <x:c r="J29" s="20" t="str">
        <x:v>integer</x:v>
      </x:c>
      <x:c r="K29" s="20" t="str">
        <x:v>integer</x:v>
      </x:c>
      <x:c r="L29" s="31" t="b">
        <x:v>1</x:v>
      </x:c>
      <x:c r="M29" s="31" t="b">
        <x:v>0</x:v>
      </x:c>
      <x:c r="N29" s="20"/>
      <x:c r="O29" s="19"/>
      <x:c r="P29" s="20"/>
      <x:c r="Q29" s="31" t="b">
        <x:v>1</x:v>
      </x:c>
      <x:c r="R29" s="20" t="str">
        <x:v>numeric_range</x:v>
      </x:c>
      <x:c r="S29" s="31" t="b">
        <x:v>0</x:v>
      </x:c>
      <x:c r="T29" s="31" t="b">
        <x:v>1</x:v>
      </x:c>
      <x:c r="U29" s="31" t="b">
        <x:v>1</x:v>
      </x:c>
      <x:c r="V29" s="31" t="b">
        <x:v>0</x:v>
      </x:c>
      <x:c r="W29" s="31" t="b">
        <x:v>1</x:v>
      </x:c>
      <x:c r="X29" s="31" t="b">
        <x:v>1</x:v>
      </x:c>
      <x:c r="Y29" s="31" t="b">
        <x:v>1</x:v>
      </x:c>
      <x:c r="Z29" s="31" t="b">
        <x:v>1</x:v>
      </x:c>
      <x:c r="AA29" s="31" t="b">
        <x:v>1</x:v>
      </x:c>
      <x:c r="AB29" s="31" t="b">
        <x:v>1</x:v>
      </x:c>
      <x:c r="AC29" s="31" t="b">
        <x:v>0</x:v>
      </x:c>
      <x:c r="AD29" s="31" t="b">
        <x:v>0</x:v>
      </x:c>
      <x:c r="AE29" s="20" t="str">
        <x:v>loadIndex</x:v>
      </x:c>
      <x:c r="AF29" s="31" t="b">
        <x:v>0</x:v>
      </x:c>
      <x:c r="AG29" s="20" t="str">
        <x:v>required</x:v>
      </x:c>
      <x:c r="AH29" s="20"/>
      <x:c r="AI29" s="20"/>
      <x:c r="AJ29" s="20" t="str">
        <x:v>Нагрузка и скорость</x:v>
      </x:c>
      <x:c r="AK29" s="20" t="n">
        <x:v>28</x:v>
      </x:c>
      <x:c r="AL29" s="20" t="str">
        <x:v>reject_or_review</x:v>
      </x:c>
      <x:c r="AM29" s="19" t="str">
        <x:v>Соответствует текущему Payload-полю.</x:v>
      </x:c>
    </x:row>
    <x:row r="30">
      <x:c r="A30" s="18" t="str">
        <x:v>load_index_dual</x:v>
      </x:c>
      <x:c r="B30" s="18" t="str">
        <x:v>Индекс нагрузки dual</x:v>
      </x:c>
      <x:c r="C30" s="18" t="str">
        <x:v>Load index dual</x:v>
      </x:c>
      <x:c r="D30" s="18" t="str">
        <x:v>Индекс нагрузки dual: системное поле каталога BIZON.</x:v>
      </x:c>
      <x:c r="E30" s="18" t="str">
        <x:v>variant</x:v>
      </x:c>
      <x:c r="F30" s="18" t="str">
        <x:v>TBR</x:v>
      </x:c>
      <x:c r="G30" s="18" t="str">
        <x:v>tire-variants</x:v>
      </x:c>
      <x:c r="H30" s="18" t="str">
        <x:v>load_index_dual</x:v>
      </x:c>
      <x:c r="I30" s="18" t="str">
        <x:v>load_index_dual</x:v>
      </x:c>
      <x:c r="J30" s="18" t="str">
        <x:v>integer</x:v>
      </x:c>
      <x:c r="K30" s="18" t="str">
        <x:v>integer</x:v>
      </x:c>
      <x:c r="L30" s="28" t="b">
        <x:v>0</x:v>
      </x:c>
      <x:c r="M30" s="28" t="b">
        <x:v>1</x:v>
      </x:c>
      <x:c r="N30" s="18"/>
      <x:c r="O30" s="19"/>
      <x:c r="P30" s="18"/>
      <x:c r="Q30" s="28" t="b">
        <x:v>1</x:v>
      </x:c>
      <x:c r="R30" s="18" t="str">
        <x:v>numeric_range</x:v>
      </x:c>
      <x:c r="S30" s="28" t="b">
        <x:v>0</x:v>
      </x:c>
      <x:c r="T30" s="28" t="b">
        <x:v>1</x:v>
      </x:c>
      <x:c r="U30" s="28" t="b">
        <x:v>1</x:v>
      </x:c>
      <x:c r="V30" s="28" t="b">
        <x:v>0</x:v>
      </x:c>
      <x:c r="W30" s="28" t="b">
        <x:v>1</x:v>
      </x:c>
      <x:c r="X30" s="28" t="b">
        <x:v>1</x:v>
      </x:c>
      <x:c r="Y30" s="28" t="b">
        <x:v>1</x:v>
      </x:c>
      <x:c r="Z30" s="28" t="b">
        <x:v>1</x:v>
      </x:c>
      <x:c r="AA30" s="28" t="b">
        <x:v>1</x:v>
      </x:c>
      <x:c r="AB30" s="28" t="b">
        <x:v>1</x:v>
      </x:c>
      <x:c r="AC30" s="28" t="b">
        <x:v>0</x:v>
      </x:c>
      <x:c r="AD30" s="28" t="b">
        <x:v>0</x:v>
      </x:c>
      <x:c r="AE30" s="18"/>
      <x:c r="AF30" s="28" t="b">
        <x:v>0</x:v>
      </x:c>
      <x:c r="AG30" s="18"/>
      <x:c r="AH30" s="18"/>
      <x:c r="AI30" s="18"/>
      <x:c r="AJ30" s="18" t="str">
        <x:v>Нагрузка и скорость</x:v>
      </x:c>
      <x:c r="AK30" s="18" t="n">
        <x:v>29</x:v>
      </x:c>
      <x:c r="AL30" s="18" t="str">
        <x:v>omit</x:v>
      </x:c>
      <x:c r="AM30" s="19" t="str">
        <x:v>Рекомендуемое расширение текущей схемы Payload; не считать уже реализованным.</x:v>
      </x:c>
    </x:row>
    <x:row r="31">
      <x:c r="A31" s="20" t="str">
        <x:v>speed_symbol</x:v>
      </x:c>
      <x:c r="B31" s="20" t="str">
        <x:v>Символ скорости</x:v>
      </x:c>
      <x:c r="C31" s="20" t="str">
        <x:v>Speed symbol</x:v>
      </x:c>
      <x:c r="D31" s="20" t="str">
        <x:v>Символ скорости: системное поле каталога BIZON.</x:v>
      </x:c>
      <x:c r="E31" s="20" t="str">
        <x:v>variant</x:v>
      </x:c>
      <x:c r="F31" s="20" t="str">
        <x:v>TBR</x:v>
      </x:c>
      <x:c r="G31" s="20" t="str">
        <x:v>tire-variants</x:v>
      </x:c>
      <x:c r="H31" s="20" t="str">
        <x:v>speedIndex</x:v>
      </x:c>
      <x:c r="I31" s="20" t="str">
        <x:v>speed_symbol</x:v>
      </x:c>
      <x:c r="J31" s="20" t="str">
        <x:v>enum</x:v>
      </x:c>
      <x:c r="K31" s="20" t="str">
        <x:v>enum</x:v>
      </x:c>
      <x:c r="L31" s="31" t="b">
        <x:v>1</x:v>
      </x:c>
      <x:c r="M31" s="31" t="b">
        <x:v>0</x:v>
      </x:c>
      <x:c r="N31" s="20"/>
      <x:c r="O31" s="19"/>
      <x:c r="P31" s="20" t="str">
        <x:v>speed_symbols</x:v>
      </x:c>
      <x:c r="Q31" s="31" t="b">
        <x:v>1</x:v>
      </x:c>
      <x:c r="R31" s="20" t="str">
        <x:v>multi_select</x:v>
      </x:c>
      <x:c r="S31" s="31" t="b">
        <x:v>0</x:v>
      </x:c>
      <x:c r="T31" s="31" t="b">
        <x:v>1</x:v>
      </x:c>
      <x:c r="U31" s="31" t="b">
        <x:v>1</x:v>
      </x:c>
      <x:c r="V31" s="31" t="b">
        <x:v>0</x:v>
      </x:c>
      <x:c r="W31" s="31" t="b">
        <x:v>1</x:v>
      </x:c>
      <x:c r="X31" s="31" t="b">
        <x:v>1</x:v>
      </x:c>
      <x:c r="Y31" s="31" t="b">
        <x:v>1</x:v>
      </x:c>
      <x:c r="Z31" s="31" t="b">
        <x:v>1</x:v>
      </x:c>
      <x:c r="AA31" s="31" t="b">
        <x:v>1</x:v>
      </x:c>
      <x:c r="AB31" s="31" t="b">
        <x:v>1</x:v>
      </x:c>
      <x:c r="AC31" s="31" t="b">
        <x:v>0</x:v>
      </x:c>
      <x:c r="AD31" s="31" t="b">
        <x:v>0</x:v>
      </x:c>
      <x:c r="AE31" s="20" t="str">
        <x:v>speed</x:v>
      </x:c>
      <x:c r="AF31" s="31" t="b">
        <x:v>0</x:v>
      </x:c>
      <x:c r="AG31" s="20" t="str">
        <x:v>required</x:v>
      </x:c>
      <x:c r="AH31" s="20"/>
      <x:c r="AI31" s="20"/>
      <x:c r="AJ31" s="20" t="str">
        <x:v>Нагрузка и скорость</x:v>
      </x:c>
      <x:c r="AK31" s="20" t="n">
        <x:v>30</x:v>
      </x:c>
      <x:c r="AL31" s="20" t="str">
        <x:v>reject_or_review</x:v>
      </x:c>
      <x:c r="AM31" s="19" t="str">
        <x:v>Соответствует текущему Payload-полю.</x:v>
      </x:c>
    </x:row>
    <x:row r="32">
      <x:c r="A32" s="18" t="str">
        <x:v>overall_diameter_mm</x:v>
      </x:c>
      <x:c r="B32" s="18" t="str">
        <x:v>Наружный диаметр</x:v>
      </x:c>
      <x:c r="C32" s="18" t="str">
        <x:v>Overall diameter</x:v>
      </x:c>
      <x:c r="D32" s="18" t="str">
        <x:v>Наружный диаметр: системное поле каталога BIZON.</x:v>
      </x:c>
      <x:c r="E32" s="18" t="str">
        <x:v>variant</x:v>
      </x:c>
      <x:c r="F32" s="18" t="str">
        <x:v>TBR</x:v>
      </x:c>
      <x:c r="G32" s="18" t="str">
        <x:v>tire-variants</x:v>
      </x:c>
      <x:c r="H32" s="18" t="str">
        <x:v>overallDiameter</x:v>
      </x:c>
      <x:c r="I32" s="18" t="str">
        <x:v>overall_diameter_mm</x:v>
      </x:c>
      <x:c r="J32" s="18" t="str">
        <x:v>integer</x:v>
      </x:c>
      <x:c r="K32" s="18" t="str">
        <x:v>integer</x:v>
      </x:c>
      <x:c r="L32" s="28" t="b">
        <x:v>1</x:v>
      </x:c>
      <x:c r="M32" s="28" t="b">
        <x:v>0</x:v>
      </x:c>
      <x:c r="N32" s="18" t="str">
        <x:v>mm</x:v>
      </x:c>
      <x:c r="O32" s="19"/>
      <x:c r="P32" s="18"/>
      <x:c r="Q32" s="28" t="b">
        <x:v>1</x:v>
      </x:c>
      <x:c r="R32" s="18" t="str">
        <x:v>numeric_range</x:v>
      </x:c>
      <x:c r="S32" s="28" t="b">
        <x:v>0</x:v>
      </x:c>
      <x:c r="T32" s="28" t="b">
        <x:v>1</x:v>
      </x:c>
      <x:c r="U32" s="28" t="b">
        <x:v>1</x:v>
      </x:c>
      <x:c r="V32" s="28" t="b">
        <x:v>0</x:v>
      </x:c>
      <x:c r="W32" s="28" t="b">
        <x:v>1</x:v>
      </x:c>
      <x:c r="X32" s="28" t="b">
        <x:v>1</x:v>
      </x:c>
      <x:c r="Y32" s="28" t="b">
        <x:v>1</x:v>
      </x:c>
      <x:c r="Z32" s="28" t="b">
        <x:v>1</x:v>
      </x:c>
      <x:c r="AA32" s="28" t="b">
        <x:v>1</x:v>
      </x:c>
      <x:c r="AB32" s="28" t="b">
        <x:v>1</x:v>
      </x:c>
      <x:c r="AC32" s="28" t="b">
        <x:v>0</x:v>
      </x:c>
      <x:c r="AD32" s="28" t="b">
        <x:v>0</x:v>
      </x:c>
      <x:c r="AE32" s="18" t="str">
        <x:v>overallDiameter</x:v>
      </x:c>
      <x:c r="AF32" s="28" t="b">
        <x:v>0</x:v>
      </x:c>
      <x:c r="AG32" s="18" t="str">
        <x:v>required</x:v>
      </x:c>
      <x:c r="AH32" s="18"/>
      <x:c r="AI32" s="18"/>
      <x:c r="AJ32" s="18" t="str">
        <x:v>Геометрия</x:v>
      </x:c>
      <x:c r="AK32" s="18" t="n">
        <x:v>31</x:v>
      </x:c>
      <x:c r="AL32" s="18" t="str">
        <x:v>reject_or_review</x:v>
      </x:c>
      <x:c r="AM32" s="19" t="str">
        <x:v>Соответствует текущему Payload-полю.</x:v>
      </x:c>
    </x:row>
    <x:row r="33">
      <x:c r="A33" s="20" t="str">
        <x:v>section_width_mm</x:v>
      </x:c>
      <x:c r="B33" s="20" t="str">
        <x:v>Ширина профиля</x:v>
      </x:c>
      <x:c r="C33" s="20" t="str">
        <x:v>Section width</x:v>
      </x:c>
      <x:c r="D33" s="20" t="str">
        <x:v>Ширина профиля: системное поле каталога BIZON.</x:v>
      </x:c>
      <x:c r="E33" s="20" t="str">
        <x:v>variant</x:v>
      </x:c>
      <x:c r="F33" s="20" t="str">
        <x:v>TBR</x:v>
      </x:c>
      <x:c r="G33" s="20" t="str">
        <x:v>tire-variants</x:v>
      </x:c>
      <x:c r="H33" s="20" t="str">
        <x:v>section_width_mm</x:v>
      </x:c>
      <x:c r="I33" s="20" t="str">
        <x:v>section_width_mm</x:v>
      </x:c>
      <x:c r="J33" s="20" t="str">
        <x:v>integer</x:v>
      </x:c>
      <x:c r="K33" s="20" t="str">
        <x:v>integer</x:v>
      </x:c>
      <x:c r="L33" s="31" t="b">
        <x:v>1</x:v>
      </x:c>
      <x:c r="M33" s="31" t="b">
        <x:v>0</x:v>
      </x:c>
      <x:c r="N33" s="20" t="str">
        <x:v>mm</x:v>
      </x:c>
      <x:c r="O33" s="19"/>
      <x:c r="P33" s="20"/>
      <x:c r="Q33" s="31" t="b">
        <x:v>1</x:v>
      </x:c>
      <x:c r="R33" s="20" t="str">
        <x:v>numeric_range</x:v>
      </x:c>
      <x:c r="S33" s="31" t="b">
        <x:v>0</x:v>
      </x:c>
      <x:c r="T33" s="31" t="b">
        <x:v>1</x:v>
      </x:c>
      <x:c r="U33" s="31" t="b">
        <x:v>1</x:v>
      </x:c>
      <x:c r="V33" s="31" t="b">
        <x:v>0</x:v>
      </x:c>
      <x:c r="W33" s="31" t="b">
        <x:v>1</x:v>
      </x:c>
      <x:c r="X33" s="31" t="b">
        <x:v>1</x:v>
      </x:c>
      <x:c r="Y33" s="31" t="b">
        <x:v>1</x:v>
      </x:c>
      <x:c r="Z33" s="31" t="b">
        <x:v>1</x:v>
      </x:c>
      <x:c r="AA33" s="31" t="b">
        <x:v>1</x:v>
      </x:c>
      <x:c r="AB33" s="31" t="b">
        <x:v>1</x:v>
      </x:c>
      <x:c r="AC33" s="31" t="b">
        <x:v>0</x:v>
      </x:c>
      <x:c r="AD33" s="31" t="b">
        <x:v>0</x:v>
      </x:c>
      <x:c r="AE33" s="20" t="str">
        <x:v>sectionWidth</x:v>
      </x:c>
      <x:c r="AF33" s="31" t="b">
        <x:v>0</x:v>
      </x:c>
      <x:c r="AG33" s="20" t="str">
        <x:v>required</x:v>
      </x:c>
      <x:c r="AH33" s="20"/>
      <x:c r="AI33" s="20"/>
      <x:c r="AJ33" s="20" t="str">
        <x:v>Геометрия</x:v>
      </x:c>
      <x:c r="AK33" s="20" t="n">
        <x:v>32</x:v>
      </x:c>
      <x:c r="AL33" s="20" t="str">
        <x:v>reject_or_review</x:v>
      </x:c>
      <x:c r="AM33" s="19" t="str">
        <x:v>Рекомендуемое расширение текущей схемы Payload; не считать уже реализованным.</x:v>
      </x:c>
    </x:row>
    <x:row r="34">
      <x:c r="A34" s="18" t="str">
        <x:v>verification_status</x:v>
      </x:c>
      <x:c r="B34" s="18" t="str">
        <x:v>Статус проверки</x:v>
      </x:c>
      <x:c r="C34" s="18" t="str">
        <x:v>Verification status</x:v>
      </x:c>
      <x:c r="D34" s="18" t="str">
        <x:v>Статус проверки: системное поле каталога BIZON.</x:v>
      </x:c>
      <x:c r="E34" s="18" t="str">
        <x:v>variant</x:v>
      </x:c>
      <x:c r="F34" s="18" t="str">
        <x:v>TBR</x:v>
      </x:c>
      <x:c r="G34" s="18" t="str">
        <x:v>tire-variants</x:v>
      </x:c>
      <x:c r="H34" s="18" t="str">
        <x:v>verification_status</x:v>
      </x:c>
      <x:c r="I34" s="18" t="str">
        <x:v>verification_status</x:v>
      </x:c>
      <x:c r="J34" s="18" t="str">
        <x:v>enum</x:v>
      </x:c>
      <x:c r="K34" s="18" t="str">
        <x:v>enum</x:v>
      </x:c>
      <x:c r="L34" s="28" t="b">
        <x:v>1</x:v>
      </x:c>
      <x:c r="M34" s="28" t="b">
        <x:v>0</x:v>
      </x:c>
      <x:c r="N34" s="18"/>
      <x:c r="O34" s="19"/>
      <x:c r="P34" s="18" t="str">
        <x:v>verification_status</x:v>
      </x:c>
      <x:c r="Q34" s="28" t="b">
        <x:v>0</x:v>
      </x:c>
      <x:c r="R34" s="18" t="str">
        <x:v>none</x:v>
      </x:c>
      <x:c r="S34" s="28" t="b">
        <x:v>0</x:v>
      </x:c>
      <x:c r="T34" s="28" t="b">
        <x:v>1</x:v>
      </x:c>
      <x:c r="U34" s="28" t="b">
        <x:v>1</x:v>
      </x:c>
      <x:c r="V34" s="28" t="b">
        <x:v>0</x:v>
      </x:c>
      <x:c r="W34" s="28" t="b">
        <x:v>1</x:v>
      </x:c>
      <x:c r="X34" s="28" t="b">
        <x:v>1</x:v>
      </x:c>
      <x:c r="Y34" s="28" t="b">
        <x:v>1</x:v>
      </x:c>
      <x:c r="Z34" s="28" t="b">
        <x:v>1</x:v>
      </x:c>
      <x:c r="AA34" s="28" t="b">
        <x:v>1</x:v>
      </x:c>
      <x:c r="AB34" s="28" t="b">
        <x:v>1</x:v>
      </x:c>
      <x:c r="AC34" s="28" t="b">
        <x:v>0</x:v>
      </x:c>
      <x:c r="AD34" s="28" t="b">
        <x:v>0</x:v>
      </x:c>
      <x:c r="AE34" s="18"/>
      <x:c r="AF34" s="28" t="b">
        <x:v>0</x:v>
      </x:c>
      <x:c r="AG34" s="18" t="str">
        <x:v>required</x:v>
      </x:c>
      <x:c r="AH34" s="18"/>
      <x:c r="AI34" s="18"/>
      <x:c r="AJ34" s="18" t="str">
        <x:v>Проверка</x:v>
      </x:c>
      <x:c r="AK34" s="18" t="n">
        <x:v>33</x:v>
      </x:c>
      <x:c r="AL34" s="18" t="str">
        <x:v>reject_or_review</x:v>
      </x:c>
      <x:c r="AM34" s="19" t="str">
        <x:v>Рекомендуемое расширение текущей схемы Payload; не считать уже реализованным.</x:v>
      </x:c>
    </x:row>
  </x:sheetData>
  <x:dataValidations count="5">
    <x:dataValidation type="list" sqref="R2:R34">
      <x:formula1>"none,checkbox,multi_select,single_select,numeric_range,boolean,search,exact_size,hierarchical"</x:formula1>
    </x:dataValidation>
    <x:dataValidation type="list" sqref="E2:E34">
      <x:formula1>"model,variant,both"</x:formula1>
    </x:dataValidation>
    <x:dataValidation type="list" sqref="L2:L34">
      <x:formula1>"TRUE,FALSE"</x:formula1>
    </x:dataValidation>
    <x:dataValidation type="list" sqref="M2:M34">
      <x:formula1>"TRUE,FALSE"</x:formula1>
    </x:dataValidation>
    <x:dataValidation type="list" sqref="Q2:Q34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f506ffc6bc3487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9" hidden="0" customWidth="1"/>
    <x:col min="3" max="3" width="15" hidden="0" customWidth="1"/>
    <x:col min="4" max="4" width="28" hidden="0" customWidth="1"/>
    <x:col min="5" max="5" width="11" hidden="0" customWidth="1"/>
    <x:col min="6" max="6" width="18" hidden="0" customWidth="1"/>
    <x:col min="7" max="7" width="12" hidden="0" customWidth="1"/>
    <x:col min="8" max="8" width="14" hidden="0" customWidth="1"/>
    <x:col min="9" max="9" width="13" hidden="0" customWidth="1"/>
    <x:col min="10" max="10" width="10" hidden="0" customWidth="1"/>
    <x:col min="11" max="11" width="12" hidden="0" customWidth="1"/>
    <x:col min="12" max="12" width="12" hidden="0" customWidth="1"/>
    <x:col min="13" max="13" width="12" hidden="0" customWidth="1"/>
    <x:col min="14" max="14" width="21" hidden="0" customWidth="1"/>
    <x:col min="15" max="15" width="20" hidden="0" customWidth="1"/>
    <x:col min="16" max="16" width="10" hidden="0" customWidth="1"/>
    <x:col min="17" max="17" width="15" hidden="0" customWidth="1"/>
    <x:col min="18" max="18" width="18" hidden="0" customWidth="1"/>
    <x:col min="19" max="19" width="22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22" hidden="0" customWidth="1"/>
    <x:col min="25" max="25" width="28" hidden="0" customWidth="1"/>
    <x:col min="26" max="26" width="28" hidden="0" customWidth="1"/>
    <x:col min="27" max="27" width="18" hidden="0" customWidth="1"/>
    <x:col min="28" max="28" width="12" hidden="0" customWidth="1"/>
    <x:col min="29" max="29" width="28" hidden="0" customWidth="1"/>
  </x:cols>
  <x:sheetData>
    <x:row r="1" ht="34" customHeight="1">
      <x:c r="A1" s="17" t="str">
        <x:v>filter_key</x:v>
      </x:c>
      <x:c r="B1" s="17" t="str">
        <x:v>label_ru</x:v>
      </x:c>
      <x:c r="C1" s="17" t="str">
        <x:v>short_label_ru</x:v>
      </x:c>
      <x:c r="D1" s="17" t="str">
        <x:v>description_ru</x:v>
      </x:c>
      <x:c r="E1" s="17" t="str">
        <x:v>entity_scope</x:v>
      </x:c>
      <x:c r="F1" s="17" t="str">
        <x:v>source_attribute_key</x:v>
      </x:c>
      <x:c r="G1" s="17" t="str">
        <x:v>filter_type</x:v>
      </x:c>
      <x:c r="H1" s="17" t="str">
        <x:v>query_parameter</x:v>
      </x:c>
      <x:c r="I1" s="17" t="str">
        <x:v>url_value_type</x:v>
      </x:c>
      <x:c r="J1" s="17" t="str">
        <x:v>multi_value</x:v>
      </x:c>
      <x:c r="K1" s="17" t="str">
        <x:v>unit</x:v>
      </x:c>
      <x:c r="L1" s="17" t="str">
        <x:v>display_group</x:v>
      </x:c>
      <x:c r="M1" s="17" t="str">
        <x:v>display_order</x:v>
      </x:c>
      <x:c r="N1" s="17" t="str">
        <x:v>open_by_default_desktop</x:v>
      </x:c>
      <x:c r="O1" s="17" t="str">
        <x:v>open_by_default_mobile</x:v>
      </x:c>
      <x:c r="P1" s="17" t="str">
        <x:v>show_count</x:v>
      </x:c>
      <x:c r="Q1" s="17" t="str">
        <x:v>show_zero_values</x:v>
      </x:c>
      <x:c r="R1" s="17" t="str">
        <x:v>zero_value_behavior</x:v>
      </x:c>
      <x:c r="S1" s="17" t="str">
        <x:v>searchable_inside_filter</x:v>
      </x:c>
      <x:c r="T1" s="17" t="str">
        <x:v>min_value</x:v>
      </x:c>
      <x:c r="U1" s="17" t="str">
        <x:v>max_value</x:v>
      </x:c>
      <x:c r="V1" s="17" t="str">
        <x:v>step</x:v>
      </x:c>
      <x:c r="W1" s="17" t="str">
        <x:v>sort_mode</x:v>
      </x:c>
      <x:c r="X1" s="17" t="str">
        <x:v>seo_policy</x:v>
      </x:c>
      <x:c r="Y1" s="17" t="str">
        <x:v>analytics_event_key</x:v>
      </x:c>
      <x:c r="Z1" s="17" t="str">
        <x:v>payload_query_strategy</x:v>
      </x:c>
      <x:c r="AA1" s="17" t="str">
        <x:v>db_index_recommended</x:v>
      </x:c>
      <x:c r="AB1" s="17" t="str">
        <x:v>enabled</x:v>
      </x:c>
      <x:c r="AC1" s="17" t="str">
        <x:v>notes</x:v>
      </x:c>
    </x:row>
    <x:row r="2">
      <x:c r="A2" s="18" t="str">
        <x:v>exact_size</x:v>
      </x:c>
      <x:c r="B2" s="18" t="str">
        <x:v>Типоразмер</x:v>
      </x:c>
      <x:c r="C2" s="18" t="str">
        <x:v>Размер</x:v>
      </x:c>
      <x:c r="D2" s="18" t="str">
        <x:v>Типоразмер из подтверждённых полей каталога.</x:v>
      </x:c>
      <x:c r="E2" s="18" t="str">
        <x:v>variant</x:v>
      </x:c>
      <x:c r="F2" s="19" t="str">
        <x:v>size_raw</x:v>
      </x:c>
      <x:c r="G2" s="18" t="str">
        <x:v>multi_select</x:v>
      </x:c>
      <x:c r="H2" s="18" t="str">
        <x:v>size</x:v>
      </x:c>
      <x:c r="I2" s="18" t="str">
        <x:v>string</x:v>
      </x:c>
      <x:c r="J2" s="28" t="b">
        <x:v>1</x:v>
      </x:c>
      <x:c r="K2" s="18" t="str"/>
      <x:c r="L2" s="18" t="str">
        <x:v>Основные</x:v>
      </x:c>
      <x:c r="M2" s="18" t="n">
        <x:v>1</x:v>
      </x:c>
      <x:c r="N2" s="28" t="b">
        <x:v>1</x:v>
      </x:c>
      <x:c r="O2" s="28" t="b">
        <x:v>1</x:v>
      </x:c>
      <x:c r="P2" s="28" t="b">
        <x:v>1</x:v>
      </x:c>
      <x:c r="Q2" s="28" t="b">
        <x:v>0</x:v>
      </x:c>
      <x:c r="R2" s="18" t="str">
        <x:v>hide</x:v>
      </x:c>
      <x:c r="S2" s="28" t="b">
        <x:v>1</x:v>
      </x:c>
      <x:c r="T2" s="18" t="str"/>
      <x:c r="U2" s="18" t="str"/>
      <x:c r="V2" s="18" t="str"/>
      <x:c r="W2" s="18" t="str">
        <x:v>label_asc</x:v>
      </x:c>
      <x:c r="X2" s="18" t="str">
        <x:v>noindex_for_combinations</x:v>
      </x:c>
      <x:c r="Y2" s="18" t="str">
        <x:v>catalog_filter_exact_size</x:v>
      </x:c>
      <x:c r="Z2" s="18" t="str">
        <x:v>where[size_raw][in]</x:v>
      </x:c>
      <x:c r="AA2" s="28" t="b">
        <x:v>1</x:v>
      </x:c>
      <x:c r="AB2" s="28" t="b">
        <x:v>1</x:v>
      </x:c>
      <x:c r="AC2" s="19" t="str"/>
    </x:row>
    <x:row r="3">
      <x:c r="A3" s="20" t="str">
        <x:v>nominal_width</x:v>
      </x:c>
      <x:c r="B3" s="20" t="str">
        <x:v>Ширина</x:v>
      </x:c>
      <x:c r="C3" s="20" t="str">
        <x:v>Ширина</x:v>
      </x:c>
      <x:c r="D3" s="20" t="str">
        <x:v>Ширина из подтверждённых полей каталога.</x:v>
      </x:c>
      <x:c r="E3" s="20" t="str">
        <x:v>variant</x:v>
      </x:c>
      <x:c r="F3" s="19" t="str">
        <x:v>nominal_width_mm</x:v>
      </x:c>
      <x:c r="G3" s="20" t="str">
        <x:v>multi_select</x:v>
      </x:c>
      <x:c r="H3" s="20" t="str">
        <x:v>width</x:v>
      </x:c>
      <x:c r="I3" s="20" t="str">
        <x:v>number</x:v>
      </x:c>
      <x:c r="J3" s="31" t="b">
        <x:v>1</x:v>
      </x:c>
      <x:c r="K3" s="20" t="str">
        <x:v>mm</x:v>
      </x:c>
      <x:c r="L3" s="20" t="str">
        <x:v>Основные</x:v>
      </x:c>
      <x:c r="M3" s="20" t="n">
        <x:v>2</x:v>
      </x:c>
      <x:c r="N3" s="31" t="b">
        <x:v>1</x:v>
      </x:c>
      <x:c r="O3" s="31" t="b">
        <x:v>1</x:v>
      </x:c>
      <x:c r="P3" s="31" t="b">
        <x:v>1</x:v>
      </x:c>
      <x:c r="Q3" s="31" t="b">
        <x:v>0</x:v>
      </x:c>
      <x:c r="R3" s="20" t="str">
        <x:v>hide</x:v>
      </x:c>
      <x:c r="S3" s="31" t="b">
        <x:v>1</x:v>
      </x:c>
      <x:c r="T3" s="20" t="n">
        <x:v>215</x:v>
      </x:c>
      <x:c r="U3" s="20" t="n">
        <x:v>445</x:v>
      </x:c>
      <x:c r="V3" s="20" t="str"/>
      <x:c r="W3" s="20" t="str">
        <x:v>numeric_asc</x:v>
      </x:c>
      <x:c r="X3" s="20" t="str">
        <x:v>noindex_for_combinations</x:v>
      </x:c>
      <x:c r="Y3" s="20" t="str">
        <x:v>catalog_filter_nominal_width</x:v>
      </x:c>
      <x:c r="Z3" s="20" t="str">
        <x:v>where[nominal_width_mm][in]</x:v>
      </x:c>
      <x:c r="AA3" s="31" t="b">
        <x:v>1</x:v>
      </x:c>
      <x:c r="AB3" s="31" t="b">
        <x:v>1</x:v>
      </x:c>
      <x:c r="AC3" s="19" t="str"/>
    </x:row>
    <x:row r="4">
      <x:c r="A4" s="18" t="str">
        <x:v>aspect_ratio</x:v>
      </x:c>
      <x:c r="B4" s="18" t="str">
        <x:v>Профиль</x:v>
      </x:c>
      <x:c r="C4" s="18" t="str">
        <x:v>Профиль</x:v>
      </x:c>
      <x:c r="D4" s="18" t="str">
        <x:v>Профиль из подтверждённых полей каталога.</x:v>
      </x:c>
      <x:c r="E4" s="18" t="str">
        <x:v>variant</x:v>
      </x:c>
      <x:c r="F4" s="19" t="str">
        <x:v>aspect_ratio_pct</x:v>
      </x:c>
      <x:c r="G4" s="18" t="str">
        <x:v>multi_select</x:v>
      </x:c>
      <x:c r="H4" s="18" t="str">
        <x:v>aspect</x:v>
      </x:c>
      <x:c r="I4" s="18" t="str">
        <x:v>number</x:v>
      </x:c>
      <x:c r="J4" s="28" t="b">
        <x:v>1</x:v>
      </x:c>
      <x:c r="K4" s="18" t="str">
        <x:v>%</x:v>
      </x:c>
      <x:c r="L4" s="18" t="str">
        <x:v>Основные</x:v>
      </x:c>
      <x:c r="M4" s="18" t="n">
        <x:v>3</x:v>
      </x:c>
      <x:c r="N4" s="28" t="b">
        <x:v>1</x:v>
      </x:c>
      <x:c r="O4" s="28" t="b">
        <x:v>0</x:v>
      </x:c>
      <x:c r="P4" s="28" t="b">
        <x:v>1</x:v>
      </x:c>
      <x:c r="Q4" s="28" t="b">
        <x:v>0</x:v>
      </x:c>
      <x:c r="R4" s="18" t="str">
        <x:v>hide</x:v>
      </x:c>
      <x:c r="S4" s="28" t="b">
        <x:v>1</x:v>
      </x:c>
      <x:c r="T4" s="18" t="n">
        <x:v>45</x:v>
      </x:c>
      <x:c r="U4" s="18" t="n">
        <x:v>95</x:v>
      </x:c>
      <x:c r="V4" s="18" t="str"/>
      <x:c r="W4" s="18" t="str">
        <x:v>numeric_asc</x:v>
      </x:c>
      <x:c r="X4" s="18" t="str">
        <x:v>noindex_for_combinations</x:v>
      </x:c>
      <x:c r="Y4" s="18" t="str">
        <x:v>catalog_filter_aspect_ratio</x:v>
      </x:c>
      <x:c r="Z4" s="18" t="str">
        <x:v>where[aspect_ratio_pct][in]</x:v>
      </x:c>
      <x:c r="AA4" s="28" t="b">
        <x:v>1</x:v>
      </x:c>
      <x:c r="AB4" s="28" t="b">
        <x:v>1</x:v>
      </x:c>
      <x:c r="AC4" s="19" t="str"/>
    </x:row>
    <x:row r="5">
      <x:c r="A5" s="20" t="str">
        <x:v>rim_diameter</x:v>
      </x:c>
      <x:c r="B5" s="20" t="str">
        <x:v>Диаметр обода</x:v>
      </x:c>
      <x:c r="C5" s="20" t="str">
        <x:v>Диаметр</x:v>
      </x:c>
      <x:c r="D5" s="20" t="str">
        <x:v>Диаметр обода из подтверждённых полей каталога.</x:v>
      </x:c>
      <x:c r="E5" s="20" t="str">
        <x:v>variant</x:v>
      </x:c>
      <x:c r="F5" s="19" t="str">
        <x:v>rim_diameter_in</x:v>
      </x:c>
      <x:c r="G5" s="20" t="str">
        <x:v>multi_select</x:v>
      </x:c>
      <x:c r="H5" s="20" t="str">
        <x:v>rim</x:v>
      </x:c>
      <x:c r="I5" s="20" t="str">
        <x:v>number</x:v>
      </x:c>
      <x:c r="J5" s="31" t="b">
        <x:v>1</x:v>
      </x:c>
      <x:c r="K5" s="20" t="str">
        <x:v>inch</x:v>
      </x:c>
      <x:c r="L5" s="20" t="str">
        <x:v>Основные</x:v>
      </x:c>
      <x:c r="M5" s="20" t="n">
        <x:v>4</x:v>
      </x:c>
      <x:c r="N5" s="31" t="b">
        <x:v>1</x:v>
      </x:c>
      <x:c r="O5" s="31" t="b">
        <x:v>0</x:v>
      </x:c>
      <x:c r="P5" s="31" t="b">
        <x:v>1</x:v>
      </x:c>
      <x:c r="Q5" s="31" t="b">
        <x:v>0</x:v>
      </x:c>
      <x:c r="R5" s="20" t="str">
        <x:v>hide</x:v>
      </x:c>
      <x:c r="S5" s="31" t="b">
        <x:v>1</x:v>
      </x:c>
      <x:c r="T5" s="20" t="n">
        <x:v>17.5</x:v>
      </x:c>
      <x:c r="U5" s="20" t="n">
        <x:v>24</x:v>
      </x:c>
      <x:c r="V5" s="20" t="str"/>
      <x:c r="W5" s="20" t="str">
        <x:v>numeric_asc</x:v>
      </x:c>
      <x:c r="X5" s="20" t="str">
        <x:v>noindex_for_combinations</x:v>
      </x:c>
      <x:c r="Y5" s="20" t="str">
        <x:v>catalog_filter_rim_diameter</x:v>
      </x:c>
      <x:c r="Z5" s="20" t="str">
        <x:v>where[rim_diameter_in][in]</x:v>
      </x:c>
      <x:c r="AA5" s="31" t="b">
        <x:v>1</x:v>
      </x:c>
      <x:c r="AB5" s="31" t="b">
        <x:v>1</x:v>
      </x:c>
      <x:c r="AC5" s="19" t="str"/>
    </x:row>
    <x:row r="6">
      <x:c r="A6" s="18" t="str">
        <x:v>axle_position</x:v>
      </x:c>
      <x:c r="B6" s="18" t="str">
        <x:v>Позиция оси</x:v>
      </x:c>
      <x:c r="C6" s="18" t="str">
        <x:v>Ось</x:v>
      </x:c>
      <x:c r="D6" s="18" t="str">
        <x:v>Позиция оси из подтверждённых полей каталога.</x:v>
      </x:c>
      <x:c r="E6" s="18" t="str">
        <x:v>model</x:v>
      </x:c>
      <x:c r="F6" s="19" t="str">
        <x:v>axle_positions</x:v>
      </x:c>
      <x:c r="G6" s="18" t="str">
        <x:v>multi_select</x:v>
      </x:c>
      <x:c r="H6" s="18" t="str">
        <x:v>axle</x:v>
      </x:c>
      <x:c r="I6" s="18" t="str">
        <x:v>string</x:v>
      </x:c>
      <x:c r="J6" s="28" t="b">
        <x:v>1</x:v>
      </x:c>
      <x:c r="K6" s="18" t="str"/>
      <x:c r="L6" s="18" t="str">
        <x:v>Основные</x:v>
      </x:c>
      <x:c r="M6" s="18" t="n">
        <x:v>5</x:v>
      </x:c>
      <x:c r="N6" s="28" t="b">
        <x:v>0</x:v>
      </x:c>
      <x:c r="O6" s="28" t="b">
        <x:v>0</x:v>
      </x:c>
      <x:c r="P6" s="28" t="b">
        <x:v>1</x:v>
      </x:c>
      <x:c r="Q6" s="28" t="b">
        <x:v>0</x:v>
      </x:c>
      <x:c r="R6" s="18" t="str">
        <x:v>hide</x:v>
      </x:c>
      <x:c r="S6" s="28" t="b">
        <x:v>1</x:v>
      </x:c>
      <x:c r="T6" s="18" t="str"/>
      <x:c r="U6" s="18" t="str"/>
      <x:c r="V6" s="18" t="str"/>
      <x:c r="W6" s="18" t="str">
        <x:v>label_asc</x:v>
      </x:c>
      <x:c r="X6" s="18" t="str">
        <x:v>noindex_for_combinations</x:v>
      </x:c>
      <x:c r="Y6" s="18" t="str">
        <x:v>catalog_filter_axle_position</x:v>
      </x:c>
      <x:c r="Z6" s="18" t="str">
        <x:v>where[axle_positions][in]</x:v>
      </x:c>
      <x:c r="AA6" s="28" t="b">
        <x:v>1</x:v>
      </x:c>
      <x:c r="AB6" s="28" t="b">
        <x:v>1</x:v>
      </x:c>
      <x:c r="AC6" s="19" t="str"/>
    </x:row>
    <x:row r="7">
      <x:c r="A7" s="20" t="str">
        <x:v>application</x:v>
      </x:c>
      <x:c r="B7" s="20" t="str">
        <x:v>Назначение</x:v>
      </x:c>
      <x:c r="C7" s="20" t="str">
        <x:v>Назначение</x:v>
      </x:c>
      <x:c r="D7" s="20" t="str">
        <x:v>Назначение из подтверждённых полей каталога.</x:v>
      </x:c>
      <x:c r="E7" s="20" t="str">
        <x:v>model</x:v>
      </x:c>
      <x:c r="F7" s="19" t="str">
        <x:v>application_types</x:v>
      </x:c>
      <x:c r="G7" s="20" t="str">
        <x:v>multi_select</x:v>
      </x:c>
      <x:c r="H7" s="20" t="str">
        <x:v>application</x:v>
      </x:c>
      <x:c r="I7" s="20" t="str">
        <x:v>string</x:v>
      </x:c>
      <x:c r="J7" s="31" t="b">
        <x:v>1</x:v>
      </x:c>
      <x:c r="K7" s="20" t="str"/>
      <x:c r="L7" s="20" t="str">
        <x:v>Основные</x:v>
      </x:c>
      <x:c r="M7" s="20" t="n">
        <x:v>6</x:v>
      </x:c>
      <x:c r="N7" s="31" t="b">
        <x:v>0</x:v>
      </x:c>
      <x:c r="O7" s="31" t="b">
        <x:v>0</x:v>
      </x:c>
      <x:c r="P7" s="31" t="b">
        <x:v>1</x:v>
      </x:c>
      <x:c r="Q7" s="31" t="b">
        <x:v>0</x:v>
      </x:c>
      <x:c r="R7" s="20" t="str">
        <x:v>hide</x:v>
      </x:c>
      <x:c r="S7" s="31" t="b">
        <x:v>1</x:v>
      </x:c>
      <x:c r="T7" s="20" t="str"/>
      <x:c r="U7" s="20" t="str"/>
      <x:c r="V7" s="20" t="str"/>
      <x:c r="W7" s="20" t="str">
        <x:v>label_asc</x:v>
      </x:c>
      <x:c r="X7" s="20" t="str">
        <x:v>noindex_for_combinations</x:v>
      </x:c>
      <x:c r="Y7" s="20" t="str">
        <x:v>catalog_filter_application</x:v>
      </x:c>
      <x:c r="Z7" s="20" t="str">
        <x:v>where[application_types][in]</x:v>
      </x:c>
      <x:c r="AA7" s="31" t="b">
        <x:v>1</x:v>
      </x:c>
      <x:c r="AB7" s="31" t="b">
        <x:v>1</x:v>
      </x:c>
      <x:c r="AC7" s="19" t="str"/>
    </x:row>
    <x:row r="8">
      <x:c r="A8" s="18" t="str">
        <x:v>ply_rating</x:v>
      </x:c>
      <x:c r="B8" s="18" t="str">
        <x:v>Слойность</x:v>
      </x:c>
      <x:c r="C8" s="18" t="str">
        <x:v>PR</x:v>
      </x:c>
      <x:c r="D8" s="18" t="str">
        <x:v>Слойность из подтверждённых полей каталога.</x:v>
      </x:c>
      <x:c r="E8" s="18" t="str">
        <x:v>variant</x:v>
      </x:c>
      <x:c r="F8" s="19" t="str">
        <x:v>ply_rating_pr</x:v>
      </x:c>
      <x:c r="G8" s="18" t="str">
        <x:v>multi_select</x:v>
      </x:c>
      <x:c r="H8" s="18" t="str">
        <x:v>pr</x:v>
      </x:c>
      <x:c r="I8" s="18" t="str">
        <x:v>number</x:v>
      </x:c>
      <x:c r="J8" s="28" t="b">
        <x:v>1</x:v>
      </x:c>
      <x:c r="K8" s="18" t="str">
        <x:v>PR</x:v>
      </x:c>
      <x:c r="L8" s="18" t="str">
        <x:v>Основные</x:v>
      </x:c>
      <x:c r="M8" s="18" t="n">
        <x:v>7</x:v>
      </x:c>
      <x:c r="N8" s="28" t="b">
        <x:v>0</x:v>
      </x:c>
      <x:c r="O8" s="28" t="b">
        <x:v>0</x:v>
      </x:c>
      <x:c r="P8" s="28" t="b">
        <x:v>1</x:v>
      </x:c>
      <x:c r="Q8" s="28" t="b">
        <x:v>0</x:v>
      </x:c>
      <x:c r="R8" s="18" t="str">
        <x:v>hide</x:v>
      </x:c>
      <x:c r="S8" s="28" t="b">
        <x:v>1</x:v>
      </x:c>
      <x:c r="T8" s="18" t="n">
        <x:v>14</x:v>
      </x:c>
      <x:c r="U8" s="18" t="n">
        <x:v>24</x:v>
      </x:c>
      <x:c r="V8" s="18" t="str"/>
      <x:c r="W8" s="18" t="str">
        <x:v>numeric_asc</x:v>
      </x:c>
      <x:c r="X8" s="18" t="str">
        <x:v>noindex_for_combinations</x:v>
      </x:c>
      <x:c r="Y8" s="18" t="str">
        <x:v>catalog_filter_ply_rating</x:v>
      </x:c>
      <x:c r="Z8" s="18" t="str">
        <x:v>where[ply_rating_pr][in]</x:v>
      </x:c>
      <x:c r="AA8" s="28" t="b">
        <x:v>1</x:v>
      </x:c>
      <x:c r="AB8" s="28" t="b">
        <x:v>1</x:v>
      </x:c>
      <x:c r="AC8" s="19" t="str"/>
    </x:row>
    <x:row r="9">
      <x:c r="A9" s="20" t="str">
        <x:v>availability</x:v>
      </x:c>
      <x:c r="B9" s="20" t="str">
        <x:v>Наличие</x:v>
      </x:c>
      <x:c r="C9" s="20" t="str">
        <x:v>Наличие</x:v>
      </x:c>
      <x:c r="D9" s="20" t="str">
        <x:v>Наличие из подтверждённых полей каталога.</x:v>
      </x:c>
      <x:c r="E9" s="20" t="str">
        <x:v>variant</x:v>
      </x:c>
      <x:c r="F9" s="19" t="str">
        <x:v>availability</x:v>
      </x:c>
      <x:c r="G9" s="20" t="str">
        <x:v>boolean</x:v>
      </x:c>
      <x:c r="H9" s="20" t="str">
        <x:v>availability</x:v>
      </x:c>
      <x:c r="I9" s="20" t="str">
        <x:v>boolean</x:v>
      </x:c>
      <x:c r="J9" s="31" t="b">
        <x:v>0</x:v>
      </x:c>
      <x:c r="K9" s="20" t="str"/>
      <x:c r="L9" s="20" t="str">
        <x:v>Основные</x:v>
      </x:c>
      <x:c r="M9" s="20" t="n">
        <x:v>8</x:v>
      </x:c>
      <x:c r="N9" s="31" t="b">
        <x:v>0</x:v>
      </x:c>
      <x:c r="O9" s="31" t="b">
        <x:v>0</x:v>
      </x:c>
      <x:c r="P9" s="31" t="b">
        <x:v>1</x:v>
      </x:c>
      <x:c r="Q9" s="31" t="b">
        <x:v>0</x:v>
      </x:c>
      <x:c r="R9" s="20" t="str">
        <x:v>hide</x:v>
      </x:c>
      <x:c r="S9" s="31" t="b">
        <x:v>0</x:v>
      </x:c>
      <x:c r="T9" s="20" t="str"/>
      <x:c r="U9" s="20" t="str"/>
      <x:c r="V9" s="20" t="str"/>
      <x:c r="W9" s="20" t="str">
        <x:v>label_asc</x:v>
      </x:c>
      <x:c r="X9" s="20" t="str">
        <x:v>noindex_for_combinations</x:v>
      </x:c>
      <x:c r="Y9" s="20" t="str">
        <x:v>catalog_filter_availability</x:v>
      </x:c>
      <x:c r="Z9" s="20" t="str">
        <x:v>where[availability][in]</x:v>
      </x:c>
      <x:c r="AA9" s="31" t="b">
        <x:v>1</x:v>
      </x:c>
      <x:c r="AB9" s="31" t="b">
        <x:v>1</x:v>
      </x:c>
      <x:c r="AC9" s="19" t="str">
        <x:v>Поле отсутствует в исходном PDF; фильтр зарезервирован под текущий Payload available.</x:v>
      </x:c>
    </x:row>
    <x:row r="10">
      <x:c r="A10" s="18" t="str">
        <x:v>load_index</x:v>
      </x:c>
      <x:c r="B10" s="18" t="str">
        <x:v>Индекс нагрузки</x:v>
      </x:c>
      <x:c r="C10" s="18" t="str">
        <x:v>Индекс нагрузки</x:v>
      </x:c>
      <x:c r="D10" s="18" t="str">
        <x:v>Индекс нагрузки из подтверждённых полей каталога.</x:v>
      </x:c>
      <x:c r="E10" s="18" t="str">
        <x:v>variant</x:v>
      </x:c>
      <x:c r="F10" s="19" t="str">
        <x:v>load_index_single</x:v>
      </x:c>
      <x:c r="G10" s="18" t="str">
        <x:v>numeric_range</x:v>
      </x:c>
      <x:c r="H10" s="18" t="str">
        <x:v>loadIndex</x:v>
      </x:c>
      <x:c r="I10" s="18" t="str">
        <x:v>number</x:v>
      </x:c>
      <x:c r="J10" s="28" t="b">
        <x:v>1</x:v>
      </x:c>
      <x:c r="K10" s="18" t="str"/>
      <x:c r="L10" s="18" t="str">
        <x:v>Расширенные</x:v>
      </x:c>
      <x:c r="M10" s="18" t="n">
        <x:v>9</x:v>
      </x:c>
      <x:c r="N10" s="28" t="b">
        <x:v>0</x:v>
      </x:c>
      <x:c r="O10" s="28" t="b">
        <x:v>0</x:v>
      </x:c>
      <x:c r="P10" s="28" t="b">
        <x:v>1</x:v>
      </x:c>
      <x:c r="Q10" s="28" t="b">
        <x:v>0</x:v>
      </x:c>
      <x:c r="R10" s="18" t="str">
        <x:v>hide</x:v>
      </x:c>
      <x:c r="S10" s="28" t="b">
        <x:v>0</x:v>
      </x:c>
      <x:c r="T10" s="18" t="n">
        <x:v>126</x:v>
      </x:c>
      <x:c r="U10" s="18" t="n">
        <x:v>169</x:v>
      </x:c>
      <x:c r="V10" s="18" t="n">
        <x:v>1</x:v>
      </x:c>
      <x:c r="W10" s="18" t="str">
        <x:v>numeric_asc</x:v>
      </x:c>
      <x:c r="X10" s="18" t="str">
        <x:v>noindex_for_combinations</x:v>
      </x:c>
      <x:c r="Y10" s="18" t="str">
        <x:v>catalog_filter_load_index</x:v>
      </x:c>
      <x:c r="Z10" s="18" t="str">
        <x:v>where[load_index_single][greater_than_equal/less_than_equal]</x:v>
      </x:c>
      <x:c r="AA10" s="28" t="b">
        <x:v>1</x:v>
      </x:c>
      <x:c r="AB10" s="28" t="b">
        <x:v>1</x:v>
      </x:c>
      <x:c r="AC10" s="19" t="str"/>
    </x:row>
    <x:row r="11">
      <x:c r="A11" s="20" t="str">
        <x:v>speed_symbol</x:v>
      </x:c>
      <x:c r="B11" s="20" t="str">
        <x:v>Индекс скорости</x:v>
      </x:c>
      <x:c r="C11" s="20" t="str">
        <x:v>Скорость</x:v>
      </x:c>
      <x:c r="D11" s="20" t="str">
        <x:v>Индекс скорости из подтверждённых полей каталога.</x:v>
      </x:c>
      <x:c r="E11" s="20" t="str">
        <x:v>variant</x:v>
      </x:c>
      <x:c r="F11" s="19" t="str">
        <x:v>speed_symbol</x:v>
      </x:c>
      <x:c r="G11" s="20" t="str">
        <x:v>multi_select</x:v>
      </x:c>
      <x:c r="H11" s="20" t="str">
        <x:v>speed</x:v>
      </x:c>
      <x:c r="I11" s="20" t="str">
        <x:v>string</x:v>
      </x:c>
      <x:c r="J11" s="31" t="b">
        <x:v>1</x:v>
      </x:c>
      <x:c r="K11" s="20" t="str"/>
      <x:c r="L11" s="20" t="str">
        <x:v>Расширенные</x:v>
      </x:c>
      <x:c r="M11" s="20" t="n">
        <x:v>10</x:v>
      </x:c>
      <x:c r="N11" s="31" t="b">
        <x:v>0</x:v>
      </x:c>
      <x:c r="O11" s="31" t="b">
        <x:v>0</x:v>
      </x:c>
      <x:c r="P11" s="31" t="b">
        <x:v>1</x:v>
      </x:c>
      <x:c r="Q11" s="31" t="b">
        <x:v>0</x:v>
      </x:c>
      <x:c r="R11" s="20" t="str">
        <x:v>hide</x:v>
      </x:c>
      <x:c r="S11" s="31" t="b">
        <x:v>1</x:v>
      </x:c>
      <x:c r="T11" s="20" t="str"/>
      <x:c r="U11" s="20" t="str"/>
      <x:c r="V11" s="20" t="str"/>
      <x:c r="W11" s="20" t="str">
        <x:v>label_asc</x:v>
      </x:c>
      <x:c r="X11" s="20" t="str">
        <x:v>noindex_for_combinations</x:v>
      </x:c>
      <x:c r="Y11" s="20" t="str">
        <x:v>catalog_filter_speed_symbol</x:v>
      </x:c>
      <x:c r="Z11" s="20" t="str">
        <x:v>where[speed_symbol][in]</x:v>
      </x:c>
      <x:c r="AA11" s="31" t="b">
        <x:v>1</x:v>
      </x:c>
      <x:c r="AB11" s="31" t="b">
        <x:v>1</x:v>
      </x:c>
      <x:c r="AC11" s="19" t="str"/>
    </x:row>
    <x:row r="12">
      <x:c r="A12" s="18" t="str">
        <x:v>max_load</x:v>
      </x:c>
      <x:c r="B12" s="18" t="str">
        <x:v>Максимальная нагрузка</x:v>
      </x:c>
      <x:c r="C12" s="18" t="str">
        <x:v>Нагрузка</x:v>
      </x:c>
      <x:c r="D12" s="18" t="str">
        <x:v>Максимальная нагрузка из подтверждённых полей каталога.</x:v>
      </x:c>
      <x:c r="E12" s="18" t="str">
        <x:v>variant</x:v>
      </x:c>
      <x:c r="F12" s="19" t="str">
        <x:v>max_load_single_kg</x:v>
      </x:c>
      <x:c r="G12" s="18" t="str">
        <x:v>numeric_range</x:v>
      </x:c>
      <x:c r="H12" s="18" t="str">
        <x:v>maxLoad</x:v>
      </x:c>
      <x:c r="I12" s="18" t="str">
        <x:v>number</x:v>
      </x:c>
      <x:c r="J12" s="28" t="b">
        <x:v>0</x:v>
      </x:c>
      <x:c r="K12" s="18" t="str">
        <x:v>kg</x:v>
      </x:c>
      <x:c r="L12" s="18" t="str">
        <x:v>Расширенные</x:v>
      </x:c>
      <x:c r="M12" s="18" t="n">
        <x:v>11</x:v>
      </x:c>
      <x:c r="N12" s="28" t="b">
        <x:v>0</x:v>
      </x:c>
      <x:c r="O12" s="28" t="b">
        <x:v>0</x:v>
      </x:c>
      <x:c r="P12" s="28" t="b">
        <x:v>1</x:v>
      </x:c>
      <x:c r="Q12" s="28" t="b">
        <x:v>0</x:v>
      </x:c>
      <x:c r="R12" s="18" t="str">
        <x:v>hide</x:v>
      </x:c>
      <x:c r="S12" s="28" t="b">
        <x:v>0</x:v>
      </x:c>
      <x:c r="T12" s="18" t="n">
        <x:v>1700</x:v>
      </x:c>
      <x:c r="U12" s="18" t="n">
        <x:v>5800</x:v>
      </x:c>
      <x:c r="V12" s="18" t="n">
        <x:v>1</x:v>
      </x:c>
      <x:c r="W12" s="18" t="str">
        <x:v>numeric_asc</x:v>
      </x:c>
      <x:c r="X12" s="18" t="str">
        <x:v>noindex_for_combinations</x:v>
      </x:c>
      <x:c r="Y12" s="18" t="str">
        <x:v>catalog_filter_max_load</x:v>
      </x:c>
      <x:c r="Z12" s="18" t="str">
        <x:v>where[max_load_single_kg][greater_than_equal/less_than_equal]</x:v>
      </x:c>
      <x:c r="AA12" s="28" t="b">
        <x:v>1</x:v>
      </x:c>
      <x:c r="AB12" s="28" t="b">
        <x:v>1</x:v>
      </x:c>
      <x:c r="AC12" s="19" t="str"/>
    </x:row>
    <x:row r="13">
      <x:c r="A13" s="20" t="str">
        <x:v>tread_depth</x:v>
      </x:c>
      <x:c r="B13" s="20" t="str">
        <x:v>Глубина протектора</x:v>
      </x:c>
      <x:c r="C13" s="20" t="str">
        <x:v>Протектор</x:v>
      </x:c>
      <x:c r="D13" s="20" t="str">
        <x:v>Глубина протектора из подтверждённых полей каталога.</x:v>
      </x:c>
      <x:c r="E13" s="20" t="str">
        <x:v>variant</x:v>
      </x:c>
      <x:c r="F13" s="19" t="str">
        <x:v>tread_depth_mm</x:v>
      </x:c>
      <x:c r="G13" s="20" t="str">
        <x:v>numeric_range</x:v>
      </x:c>
      <x:c r="H13" s="20" t="str">
        <x:v>treadDepth</x:v>
      </x:c>
      <x:c r="I13" s="20" t="str">
        <x:v>number</x:v>
      </x:c>
      <x:c r="J13" s="31" t="b">
        <x:v>0</x:v>
      </x:c>
      <x:c r="K13" s="20" t="str">
        <x:v>mm</x:v>
      </x:c>
      <x:c r="L13" s="20" t="str">
        <x:v>Расширенные</x:v>
      </x:c>
      <x:c r="M13" s="20" t="n">
        <x:v>12</x:v>
      </x:c>
      <x:c r="N13" s="31" t="b">
        <x:v>0</x:v>
      </x:c>
      <x:c r="O13" s="31" t="b">
        <x:v>0</x:v>
      </x:c>
      <x:c r="P13" s="31" t="b">
        <x:v>1</x:v>
      </x:c>
      <x:c r="Q13" s="31" t="b">
        <x:v>0</x:v>
      </x:c>
      <x:c r="R13" s="20" t="str">
        <x:v>hide</x:v>
      </x:c>
      <x:c r="S13" s="31" t="b">
        <x:v>0</x:v>
      </x:c>
      <x:c r="T13" s="20" t="n">
        <x:v>13</x:v>
      </x:c>
      <x:c r="U13" s="20" t="n">
        <x:v>26</x:v>
      </x:c>
      <x:c r="V13" s="20" t="n">
        <x:v>1</x:v>
      </x:c>
      <x:c r="W13" s="20" t="str">
        <x:v>numeric_asc</x:v>
      </x:c>
      <x:c r="X13" s="20" t="str">
        <x:v>noindex_for_combinations</x:v>
      </x:c>
      <x:c r="Y13" s="20" t="str">
        <x:v>catalog_filter_tread_depth</x:v>
      </x:c>
      <x:c r="Z13" s="20" t="str">
        <x:v>where[tread_depth_mm][greater_than_equal/less_than_equal]</x:v>
      </x:c>
      <x:c r="AA13" s="31" t="b">
        <x:v>1</x:v>
      </x:c>
      <x:c r="AB13" s="31" t="b">
        <x:v>1</x:v>
      </x:c>
      <x:c r="AC13" s="19" t="str"/>
    </x:row>
    <x:row r="14">
      <x:c r="A14" s="18" t="str">
        <x:v>standard_rim</x:v>
      </x:c>
      <x:c r="B14" s="18" t="str">
        <x:v>Стандартный обод</x:v>
      </x:c>
      <x:c r="C14" s="18" t="str">
        <x:v>Обод</x:v>
      </x:c>
      <x:c r="D14" s="18" t="str">
        <x:v>Стандартный обод из подтверждённых полей каталога.</x:v>
      </x:c>
      <x:c r="E14" s="18" t="str">
        <x:v>variant</x:v>
      </x:c>
      <x:c r="F14" s="19" t="str">
        <x:v>standard_rim_in</x:v>
      </x:c>
      <x:c r="G14" s="18" t="str">
        <x:v>multi_select</x:v>
      </x:c>
      <x:c r="H14" s="18" t="str">
        <x:v>standardRim</x:v>
      </x:c>
      <x:c r="I14" s="18" t="str">
        <x:v>number</x:v>
      </x:c>
      <x:c r="J14" s="28" t="b">
        <x:v>1</x:v>
      </x:c>
      <x:c r="K14" s="18" t="str">
        <x:v>inch</x:v>
      </x:c>
      <x:c r="L14" s="18" t="str">
        <x:v>Расширенные</x:v>
      </x:c>
      <x:c r="M14" s="18" t="n">
        <x:v>13</x:v>
      </x:c>
      <x:c r="N14" s="28" t="b">
        <x:v>0</x:v>
      </x:c>
      <x:c r="O14" s="28" t="b">
        <x:v>0</x:v>
      </x:c>
      <x:c r="P14" s="28" t="b">
        <x:v>1</x:v>
      </x:c>
      <x:c r="Q14" s="28" t="b">
        <x:v>0</x:v>
      </x:c>
      <x:c r="R14" s="18" t="str">
        <x:v>hide</x:v>
      </x:c>
      <x:c r="S14" s="28" t="b">
        <x:v>1</x:v>
      </x:c>
      <x:c r="T14" s="18" t="n">
        <x:v>6</x:v>
      </x:c>
      <x:c r="U14" s="18" t="n">
        <x:v>15</x:v>
      </x:c>
      <x:c r="V14" s="18" t="str"/>
      <x:c r="W14" s="18" t="str">
        <x:v>numeric_asc</x:v>
      </x:c>
      <x:c r="X14" s="18" t="str">
        <x:v>noindex_for_combinations</x:v>
      </x:c>
      <x:c r="Y14" s="18" t="str">
        <x:v>catalog_filter_standard_rim</x:v>
      </x:c>
      <x:c r="Z14" s="18" t="str">
        <x:v>where[standard_rim_in][in]</x:v>
      </x:c>
      <x:c r="AA14" s="28" t="b">
        <x:v>1</x:v>
      </x:c>
      <x:c r="AB14" s="28" t="b">
        <x:v>1</x:v>
      </x:c>
      <x:c r="AC14" s="19" t="str"/>
    </x:row>
    <x:row r="15">
      <x:c r="A15" s="20" t="str">
        <x:v>overall_diameter</x:v>
      </x:c>
      <x:c r="B15" s="20" t="str">
        <x:v>Наружный диаметр</x:v>
      </x:c>
      <x:c r="C15" s="20" t="str">
        <x:v>Наружный диаметр</x:v>
      </x:c>
      <x:c r="D15" s="20" t="str">
        <x:v>Наружный диаметр из подтверждённых полей каталога.</x:v>
      </x:c>
      <x:c r="E15" s="20" t="str">
        <x:v>variant</x:v>
      </x:c>
      <x:c r="F15" s="19" t="str">
        <x:v>overall_diameter_mm</x:v>
      </x:c>
      <x:c r="G15" s="20" t="str">
        <x:v>numeric_range</x:v>
      </x:c>
      <x:c r="H15" s="20" t="str">
        <x:v>overallDiameter</x:v>
      </x:c>
      <x:c r="I15" s="20" t="str">
        <x:v>number</x:v>
      </x:c>
      <x:c r="J15" s="31" t="b">
        <x:v>0</x:v>
      </x:c>
      <x:c r="K15" s="20" t="str">
        <x:v>mm</x:v>
      </x:c>
      <x:c r="L15" s="20" t="str">
        <x:v>Расширенные</x:v>
      </x:c>
      <x:c r="M15" s="20" t="n">
        <x:v>14</x:v>
      </x:c>
      <x:c r="N15" s="31" t="b">
        <x:v>0</x:v>
      </x:c>
      <x:c r="O15" s="31" t="b">
        <x:v>0</x:v>
      </x:c>
      <x:c r="P15" s="31" t="b">
        <x:v>1</x:v>
      </x:c>
      <x:c r="Q15" s="31" t="b">
        <x:v>0</x:v>
      </x:c>
      <x:c r="R15" s="20" t="str">
        <x:v>hide</x:v>
      </x:c>
      <x:c r="S15" s="31" t="b">
        <x:v>0</x:v>
      </x:c>
      <x:c r="T15" s="20" t="n">
        <x:v>767</x:v>
      </x:c>
      <x:c r="U15" s="20" t="n">
        <x:v>1228</x:v>
      </x:c>
      <x:c r="V15" s="20" t="n">
        <x:v>1</x:v>
      </x:c>
      <x:c r="W15" s="20" t="str">
        <x:v>numeric_asc</x:v>
      </x:c>
      <x:c r="X15" s="20" t="str">
        <x:v>noindex_for_combinations</x:v>
      </x:c>
      <x:c r="Y15" s="20" t="str">
        <x:v>catalog_filter_overall_diameter</x:v>
      </x:c>
      <x:c r="Z15" s="20" t="str">
        <x:v>where[overall_diameter_mm][greater_than_equal/less_than_equal]</x:v>
      </x:c>
      <x:c r="AA15" s="31" t="b">
        <x:v>1</x:v>
      </x:c>
      <x:c r="AB15" s="31" t="b">
        <x:v>1</x:v>
      </x:c>
      <x:c r="AC15" s="19" t="str"/>
    </x:row>
    <x:row r="16">
      <x:c r="A16" s="18" t="str">
        <x:v>section_width</x:v>
      </x:c>
      <x:c r="B16" s="18" t="str">
        <x:v>Ширина профиля</x:v>
      </x:c>
      <x:c r="C16" s="18" t="str">
        <x:v>Ширина профиля</x:v>
      </x:c>
      <x:c r="D16" s="18" t="str">
        <x:v>Ширина профиля из подтверждённых полей каталога.</x:v>
      </x:c>
      <x:c r="E16" s="18" t="str">
        <x:v>variant</x:v>
      </x:c>
      <x:c r="F16" s="19" t="str">
        <x:v>section_width_mm</x:v>
      </x:c>
      <x:c r="G16" s="18" t="str">
        <x:v>numeric_range</x:v>
      </x:c>
      <x:c r="H16" s="18" t="str">
        <x:v>sectionWidth</x:v>
      </x:c>
      <x:c r="I16" s="18" t="str">
        <x:v>number</x:v>
      </x:c>
      <x:c r="J16" s="28" t="b">
        <x:v>0</x:v>
      </x:c>
      <x:c r="K16" s="18" t="str">
        <x:v>mm</x:v>
      </x:c>
      <x:c r="L16" s="18" t="str">
        <x:v>Расширенные</x:v>
      </x:c>
      <x:c r="M16" s="18" t="n">
        <x:v>15</x:v>
      </x:c>
      <x:c r="N16" s="28" t="b">
        <x:v>0</x:v>
      </x:c>
      <x:c r="O16" s="28" t="b">
        <x:v>0</x:v>
      </x:c>
      <x:c r="P16" s="28" t="b">
        <x:v>1</x:v>
      </x:c>
      <x:c r="Q16" s="28" t="b">
        <x:v>0</x:v>
      </x:c>
      <x:c r="R16" s="18" t="str">
        <x:v>hide</x:v>
      </x:c>
      <x:c r="S16" s="28" t="b">
        <x:v>0</x:v>
      </x:c>
      <x:c r="T16" s="18" t="n">
        <x:v>211</x:v>
      </x:c>
      <x:c r="U16" s="18" t="n">
        <x:v>446</x:v>
      </x:c>
      <x:c r="V16" s="18" t="n">
        <x:v>1</x:v>
      </x:c>
      <x:c r="W16" s="18" t="str">
        <x:v>numeric_asc</x:v>
      </x:c>
      <x:c r="X16" s="18" t="str">
        <x:v>noindex_for_combinations</x:v>
      </x:c>
      <x:c r="Y16" s="18" t="str">
        <x:v>catalog_filter_section_width</x:v>
      </x:c>
      <x:c r="Z16" s="18" t="str">
        <x:v>where[section_width_mm][greater_than_equal/less_than_equal]</x:v>
      </x:c>
      <x:c r="AA16" s="28" t="b">
        <x:v>1</x:v>
      </x:c>
      <x:c r="AB16" s="28" t="b">
        <x:v>1</x:v>
      </x:c>
      <x:c r="AC16" s="19" t="str"/>
    </x:row>
    <x:row r="17">
      <x:c r="A17" s="20" t="str">
        <x:v>performance_feature</x:v>
      </x:c>
      <x:c r="B17" s="20" t="str">
        <x:v>Преимущества</x:v>
      </x:c>
      <x:c r="C17" s="20" t="str">
        <x:v>Преимущества</x:v>
      </x:c>
      <x:c r="D17" s="20" t="str">
        <x:v>Преимущества из подтверждённых полей каталога.</x:v>
      </x:c>
      <x:c r="E17" s="20" t="str">
        <x:v>model</x:v>
      </x:c>
      <x:c r="F17" s="19" t="str">
        <x:v>performance_features</x:v>
      </x:c>
      <x:c r="G17" s="20" t="str">
        <x:v>multi_select</x:v>
      </x:c>
      <x:c r="H17" s="20" t="str">
        <x:v>feature</x:v>
      </x:c>
      <x:c r="I17" s="20" t="str">
        <x:v>string</x:v>
      </x:c>
      <x:c r="J17" s="31" t="b">
        <x:v>1</x:v>
      </x:c>
      <x:c r="K17" s="20" t="str"/>
      <x:c r="L17" s="20" t="str">
        <x:v>Расширенные</x:v>
      </x:c>
      <x:c r="M17" s="20" t="n">
        <x:v>16</x:v>
      </x:c>
      <x:c r="N17" s="31" t="b">
        <x:v>0</x:v>
      </x:c>
      <x:c r="O17" s="31" t="b">
        <x:v>0</x:v>
      </x:c>
      <x:c r="P17" s="31" t="b">
        <x:v>1</x:v>
      </x:c>
      <x:c r="Q17" s="31" t="b">
        <x:v>0</x:v>
      </x:c>
      <x:c r="R17" s="20" t="str">
        <x:v>hide</x:v>
      </x:c>
      <x:c r="S17" s="31" t="b">
        <x:v>1</x:v>
      </x:c>
      <x:c r="T17" s="20" t="str"/>
      <x:c r="U17" s="20" t="str"/>
      <x:c r="V17" s="20" t="str"/>
      <x:c r="W17" s="20" t="str">
        <x:v>label_asc</x:v>
      </x:c>
      <x:c r="X17" s="20" t="str">
        <x:v>noindex_for_combinations</x:v>
      </x:c>
      <x:c r="Y17" s="20" t="str">
        <x:v>catalog_filter_performance_feature</x:v>
      </x:c>
      <x:c r="Z17" s="20" t="str">
        <x:v>where[performance_features][in]</x:v>
      </x:c>
      <x:c r="AA17" s="31" t="b">
        <x:v>1</x:v>
      </x:c>
      <x:c r="AB17" s="31" t="b">
        <x:v>1</x:v>
      </x:c>
      <x:c r="AC17" s="19" t="str"/>
    </x:row>
  </x:sheetData>
  <x:dataValidations count="3">
    <x:dataValidation type="list" sqref="G2:G17">
      <x:formula1>"none,checkbox,multi_select,single_select,numeric_range,boolean,search,exact_size,hierarchical"</x:formula1>
    </x:dataValidation>
    <x:dataValidation type="list" sqref="E2:E17">
      <x:formula1>"model,variant,both"</x:formula1>
    </x:dataValidation>
    <x:dataValidation type="list" sqref="AB2:AB17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3d8ffe2a1b4423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0" hidden="0" customWidth="1"/>
    <x:col min="3" max="3" width="10" hidden="0" customWidth="1"/>
    <x:col min="4" max="4" width="15" hidden="0" customWidth="1"/>
    <x:col min="5" max="5" width="21" hidden="0" customWidth="1"/>
    <x:col min="6" max="6" width="12" hidden="0" customWidth="1"/>
    <x:col min="7" max="7" width="11" hidden="0" customWidth="1"/>
    <x:col min="8" max="8" width="21" hidden="0" customWidth="1"/>
    <x:col min="9" max="9" width="12" hidden="0" customWidth="1"/>
    <x:col min="10" max="10" width="10" hidden="0" customWidth="1"/>
    <x:col min="11" max="11" width="12" hidden="0" customWidth="1"/>
    <x:col min="12" max="12" width="14" hidden="0" customWidth="1"/>
    <x:col min="13" max="13" width="28" hidden="0" customWidth="1"/>
  </x:cols>
  <x:sheetData>
    <x:row r="1" ht="34" customHeight="1">
      <x:c r="A1" s="17" t="str">
        <x:v>filter_key</x:v>
      </x:c>
      <x:c r="B1" s="17" t="str">
        <x:v>value_key</x:v>
      </x:c>
      <x:c r="C1" s="17" t="str">
        <x:v>value_raw</x:v>
      </x:c>
      <x:c r="D1" s="17" t="str">
        <x:v>value_normalized</x:v>
      </x:c>
      <x:c r="E1" s="17" t="str">
        <x:v>label_ru</x:v>
      </x:c>
      <x:c r="F1" s="17" t="str">
        <x:v>unit</x:v>
      </x:c>
      <x:c r="G1" s="17" t="str">
        <x:v>sort_numeric</x:v>
      </x:c>
      <x:c r="H1" s="17" t="str">
        <x:v>sort_text</x:v>
      </x:c>
      <x:c r="I1" s="17" t="str">
        <x:v>product_count</x:v>
      </x:c>
      <x:c r="J1" s="17" t="str">
        <x:v>model_count</x:v>
      </x:c>
      <x:c r="K1" s="17" t="str">
        <x:v>enabled</x:v>
      </x:c>
      <x:c r="L1" s="17" t="str">
        <x:v>source_verified</x:v>
      </x:c>
      <x:c r="M1" s="17" t="str">
        <x:v>notes</x:v>
      </x:c>
    </x:row>
    <x:row r="2">
      <x:c r="A2" s="18" t="str">
        <x:v>application</x:v>
      </x:c>
      <x:c r="B2" s="18" t="str">
        <x:v>off-road</x:v>
      </x:c>
      <x:c r="C2" s="19" t="str">
        <x:v>off-road</x:v>
      </x:c>
      <x:c r="D2" s="18" t="str">
        <x:v>off-road</x:v>
      </x:c>
      <x:c r="E2" s="18" t="str">
        <x:v>Бездорожье / карьер</x:v>
      </x:c>
      <x:c r="F2" s="18" t="str"/>
      <x:c r="G2" s="18" t="str"/>
      <x:c r="H2" s="18" t="str">
        <x:v>Бездорожье / карьер</x:v>
      </x:c>
      <x:c r="I2" s="18" t="n">
        <x:v>3</x:v>
      </x:c>
      <x:c r="J2" s="18" t="n">
        <x:v>3</x:v>
      </x:c>
      <x:c r="K2" s="28" t="b">
        <x:v>1</x:v>
      </x:c>
      <x:c r="L2" s="29" t="b">
        <x:v>1</x:v>
      </x:c>
      <x:c r="M2" s="19" t="str">
        <x:v>Значение наследуется вариантами от модели.</x:v>
      </x:c>
    </x:row>
    <x:row r="3">
      <x:c r="A3" s="20" t="str">
        <x:v>application</x:v>
      </x:c>
      <x:c r="B3" s="20" t="str">
        <x:v>urban</x:v>
      </x:c>
      <x:c r="C3" s="19" t="str">
        <x:v>urban</x:v>
      </x:c>
      <x:c r="D3" s="20" t="str">
        <x:v>urban</x:v>
      </x:c>
      <x:c r="E3" s="20" t="str">
        <x:v>Городская эксплуатация</x:v>
      </x:c>
      <x:c r="F3" s="20" t="str"/>
      <x:c r="G3" s="20" t="str"/>
      <x:c r="H3" s="20" t="str">
        <x:v>Городская эксплуатация</x:v>
      </x:c>
      <x:c r="I3" s="20" t="n">
        <x:v>6</x:v>
      </x:c>
      <x:c r="J3" s="20" t="n">
        <x:v>4</x:v>
      </x:c>
      <x:c r="K3" s="31" t="b">
        <x:v>1</x:v>
      </x:c>
      <x:c r="L3" s="29" t="b">
        <x:v>1</x:v>
      </x:c>
      <x:c r="M3" s="19" t="str">
        <x:v>Значение наследуется вариантами от модели.</x:v>
      </x:c>
    </x:row>
    <x:row r="4">
      <x:c r="A4" s="18" t="str">
        <x:v>application</x:v>
      </x:c>
      <x:c r="B4" s="18" t="str">
        <x:v>winter</x:v>
      </x:c>
      <x:c r="C4" s="19" t="str">
        <x:v>winter</x:v>
      </x:c>
      <x:c r="D4" s="18" t="str">
        <x:v>winter</x:v>
      </x:c>
      <x:c r="E4" s="18" t="str">
        <x:v>Зимняя эксплуатация</x:v>
      </x:c>
      <x:c r="F4" s="18" t="str"/>
      <x:c r="G4" s="18" t="str"/>
      <x:c r="H4" s="18" t="str">
        <x:v>Зимняя эксплуатация</x:v>
      </x:c>
      <x:c r="I4" s="18" t="n">
        <x:v>3</x:v>
      </x:c>
      <x:c r="J4" s="18" t="n">
        <x:v>2</x:v>
      </x:c>
      <x:c r="K4" s="28" t="b">
        <x:v>1</x:v>
      </x:c>
      <x:c r="L4" s="29" t="b">
        <x:v>1</x:v>
      </x:c>
      <x:c r="M4" s="19" t="str">
        <x:v>Значение наследуется вариантами от модели.</x:v>
      </x:c>
    </x:row>
    <x:row r="5">
      <x:c r="A5" s="20" t="str">
        <x:v>application</x:v>
      </x:c>
      <x:c r="B5" s="20" t="str">
        <x:v>long-haul</x:v>
      </x:c>
      <x:c r="C5" s="19" t="str">
        <x:v>long-haul</x:v>
      </x:c>
      <x:c r="D5" s="20" t="str">
        <x:v>long-haul</x:v>
      </x:c>
      <x:c r="E5" s="20" t="str">
        <x:v>Магистральные перевозки</x:v>
      </x:c>
      <x:c r="F5" s="20" t="str"/>
      <x:c r="G5" s="20" t="str"/>
      <x:c r="H5" s="20" t="str">
        <x:v>Магистральные перевозки</x:v>
      </x:c>
      <x:c r="I5" s="20" t="n">
        <x:v>32</x:v>
      </x:c>
      <x:c r="J5" s="20" t="n">
        <x:v>13</x:v>
      </x:c>
      <x:c r="K5" s="31" t="b">
        <x:v>1</x:v>
      </x:c>
      <x:c r="L5" s="29" t="b">
        <x:v>1</x:v>
      </x:c>
      <x:c r="M5" s="19" t="str">
        <x:v>Значение наследуется вариантами от модели.</x:v>
      </x:c>
    </x:row>
    <x:row r="6">
      <x:c r="A6" s="18" t="str">
        <x:v>application</x:v>
      </x:c>
      <x:c r="B6" s="18" t="str">
        <x:v>regional</x:v>
      </x:c>
      <x:c r="C6" s="19" t="str">
        <x:v>regional</x:v>
      </x:c>
      <x:c r="D6" s="18" t="str">
        <x:v>regional</x:v>
      </x:c>
      <x:c r="E6" s="18" t="str">
        <x:v>Региональные перевозки</x:v>
      </x:c>
      <x:c r="F6" s="18" t="str"/>
      <x:c r="G6" s="18" t="str"/>
      <x:c r="H6" s="18" t="str">
        <x:v>Региональные перевозки</x:v>
      </x:c>
      <x:c r="I6" s="18" t="n">
        <x:v>22</x:v>
      </x:c>
      <x:c r="J6" s="18" t="n">
        <x:v>9</x:v>
      </x:c>
      <x:c r="K6" s="28" t="b">
        <x:v>1</x:v>
      </x:c>
      <x:c r="L6" s="29" t="b">
        <x:v>1</x:v>
      </x:c>
      <x:c r="M6" s="19" t="str">
        <x:v>Значение наследуется вариантами от модели.</x:v>
      </x:c>
    </x:row>
    <x:row r="7">
      <x:c r="A7" s="20" t="str">
        <x:v>application</x:v>
      </x:c>
      <x:c r="B7" s="20" t="str">
        <x:v>snow-mud</x:v>
      </x:c>
      <x:c r="C7" s="19" t="str">
        <x:v>snow-mud</x:v>
      </x:c>
      <x:c r="D7" s="20" t="str">
        <x:v>snow-mud</x:v>
      </x:c>
      <x:c r="E7" s="20" t="str">
        <x:v>Снег и грязь</x:v>
      </x:c>
      <x:c r="F7" s="20" t="str"/>
      <x:c r="G7" s="20" t="str"/>
      <x:c r="H7" s="20" t="str">
        <x:v>Снег и грязь</x:v>
      </x:c>
      <x:c r="I7" s="20" t="n">
        <x:v>2</x:v>
      </x:c>
      <x:c r="J7" s="20" t="n">
        <x:v>1</x:v>
      </x:c>
      <x:c r="K7" s="31" t="b">
        <x:v>1</x:v>
      </x:c>
      <x:c r="L7" s="29" t="b">
        <x:v>1</x:v>
      </x:c>
      <x:c r="M7" s="19" t="str">
        <x:v>Значение наследуется вариантами от модели.</x:v>
      </x:c>
    </x:row>
    <x:row r="8">
      <x:c r="A8" s="18" t="str">
        <x:v>aspect_ratio</x:v>
      </x:c>
      <x:c r="B8" s="18" t="str">
        <x:v>45</x:v>
      </x:c>
      <x:c r="C8" s="19" t="n">
        <x:v>45</x:v>
      </x:c>
      <x:c r="D8" s="18" t="n">
        <x:v>45</x:v>
      </x:c>
      <x:c r="E8" s="18" t="str">
        <x:v>45</x:v>
      </x:c>
      <x:c r="F8" s="18" t="str">
        <x:v>%</x:v>
      </x:c>
      <x:c r="G8" s="18" t="n">
        <x:v>45</x:v>
      </x:c>
      <x:c r="H8" s="18" t="str">
        <x:v>45</x:v>
      </x:c>
      <x:c r="I8" s="18" t="n">
        <x:v>1</x:v>
      </x:c>
      <x:c r="J8" s="18" t="n">
        <x:v>1</x:v>
      </x:c>
      <x:c r="K8" s="28" t="b">
        <x:v>1</x:v>
      </x:c>
      <x:c r="L8" s="29" t="b">
        <x:v>1</x:v>
      </x:c>
      <x:c r="M8" s="19" t="str"/>
    </x:row>
    <x:row r="9">
      <x:c r="A9" s="20" t="str">
        <x:v>aspect_ratio</x:v>
      </x:c>
      <x:c r="B9" s="20" t="str">
        <x:v>50</x:v>
      </x:c>
      <x:c r="C9" s="19" t="n">
        <x:v>50</x:v>
      </x:c>
      <x:c r="D9" s="20" t="n">
        <x:v>50</x:v>
      </x:c>
      <x:c r="E9" s="20" t="str">
        <x:v>50</x:v>
      </x:c>
      <x:c r="F9" s="20" t="str">
        <x:v>%</x:v>
      </x:c>
      <x:c r="G9" s="20" t="n">
        <x:v>50</x:v>
      </x:c>
      <x:c r="H9" s="20" t="str">
        <x:v>50</x:v>
      </x:c>
      <x:c r="I9" s="20" t="n">
        <x:v>1</x:v>
      </x:c>
      <x:c r="J9" s="20" t="n">
        <x:v>1</x:v>
      </x:c>
      <x:c r="K9" s="31" t="b">
        <x:v>1</x:v>
      </x:c>
      <x:c r="L9" s="29" t="b">
        <x:v>1</x:v>
      </x:c>
      <x:c r="M9" s="19" t="str"/>
    </x:row>
    <x:row r="10">
      <x:c r="A10" s="18" t="str">
        <x:v>aspect_ratio</x:v>
      </x:c>
      <x:c r="B10" s="18" t="str">
        <x:v>55</x:v>
      </x:c>
      <x:c r="C10" s="19" t="n">
        <x:v>55</x:v>
      </x:c>
      <x:c r="D10" s="18" t="n">
        <x:v>55</x:v>
      </x:c>
      <x:c r="E10" s="18" t="str">
        <x:v>55</x:v>
      </x:c>
      <x:c r="F10" s="18" t="str">
        <x:v>%</x:v>
      </x:c>
      <x:c r="G10" s="18" t="n">
        <x:v>55</x:v>
      </x:c>
      <x:c r="H10" s="18" t="str">
        <x:v>55</x:v>
      </x:c>
      <x:c r="I10" s="18" t="n">
        <x:v>2</x:v>
      </x:c>
      <x:c r="J10" s="18" t="n">
        <x:v>2</x:v>
      </x:c>
      <x:c r="K10" s="28" t="b">
        <x:v>1</x:v>
      </x:c>
      <x:c r="L10" s="29" t="b">
        <x:v>1</x:v>
      </x:c>
      <x:c r="M10" s="19" t="str"/>
    </x:row>
    <x:row r="11">
      <x:c r="A11" s="20" t="str">
        <x:v>aspect_ratio</x:v>
      </x:c>
      <x:c r="B11" s="20" t="str">
        <x:v>60</x:v>
      </x:c>
      <x:c r="C11" s="19" t="n">
        <x:v>60</x:v>
      </x:c>
      <x:c r="D11" s="20" t="n">
        <x:v>60</x:v>
      </x:c>
      <x:c r="E11" s="20" t="str">
        <x:v>60</x:v>
      </x:c>
      <x:c r="F11" s="20" t="str">
        <x:v>%</x:v>
      </x:c>
      <x:c r="G11" s="20" t="n">
        <x:v>60</x:v>
      </x:c>
      <x:c r="H11" s="20" t="str">
        <x:v>60</x:v>
      </x:c>
      <x:c r="I11" s="20" t="n">
        <x:v>3</x:v>
      </x:c>
      <x:c r="J11" s="20" t="n">
        <x:v>2</x:v>
      </x:c>
      <x:c r="K11" s="31" t="b">
        <x:v>1</x:v>
      </x:c>
      <x:c r="L11" s="29" t="b">
        <x:v>1</x:v>
      </x:c>
      <x:c r="M11" s="19" t="str"/>
    </x:row>
    <x:row r="12">
      <x:c r="A12" s="18" t="str">
        <x:v>aspect_ratio</x:v>
      </x:c>
      <x:c r="B12" s="18" t="str">
        <x:v>65</x:v>
      </x:c>
      <x:c r="C12" s="19" t="n">
        <x:v>65</x:v>
      </x:c>
      <x:c r="D12" s="18" t="n">
        <x:v>65</x:v>
      </x:c>
      <x:c r="E12" s="18" t="str">
        <x:v>65</x:v>
      </x:c>
      <x:c r="F12" s="18" t="str">
        <x:v>%</x:v>
      </x:c>
      <x:c r="G12" s="18" t="n">
        <x:v>65</x:v>
      </x:c>
      <x:c r="H12" s="18" t="str">
        <x:v>65</x:v>
      </x:c>
      <x:c r="I12" s="18" t="n">
        <x:v>6</x:v>
      </x:c>
      <x:c r="J12" s="18" t="n">
        <x:v>4</x:v>
      </x:c>
      <x:c r="K12" s="28" t="b">
        <x:v>1</x:v>
      </x:c>
      <x:c r="L12" s="29" t="b">
        <x:v>1</x:v>
      </x:c>
      <x:c r="M12" s="19" t="str"/>
    </x:row>
    <x:row r="13">
      <x:c r="A13" s="20" t="str">
        <x:v>aspect_ratio</x:v>
      </x:c>
      <x:c r="B13" s="20" t="str">
        <x:v>70</x:v>
      </x:c>
      <x:c r="C13" s="19" t="n">
        <x:v>70</x:v>
      </x:c>
      <x:c r="D13" s="20" t="n">
        <x:v>70</x:v>
      </x:c>
      <x:c r="E13" s="20" t="str">
        <x:v>70</x:v>
      </x:c>
      <x:c r="F13" s="20" t="str">
        <x:v>%</x:v>
      </x:c>
      <x:c r="G13" s="20" t="n">
        <x:v>70</x:v>
      </x:c>
      <x:c r="H13" s="20" t="str">
        <x:v>70</x:v>
      </x:c>
      <x:c r="I13" s="20" t="n">
        <x:v>10</x:v>
      </x:c>
      <x:c r="J13" s="20" t="n">
        <x:v>6</x:v>
      </x:c>
      <x:c r="K13" s="31" t="b">
        <x:v>1</x:v>
      </x:c>
      <x:c r="L13" s="29" t="b">
        <x:v>1</x:v>
      </x:c>
      <x:c r="M13" s="19" t="str"/>
    </x:row>
    <x:row r="14">
      <x:c r="A14" s="18" t="str">
        <x:v>aspect_ratio</x:v>
      </x:c>
      <x:c r="B14" s="18" t="str">
        <x:v>75</x:v>
      </x:c>
      <x:c r="C14" s="19" t="n">
        <x:v>75</x:v>
      </x:c>
      <x:c r="D14" s="18" t="n">
        <x:v>75</x:v>
      </x:c>
      <x:c r="E14" s="18" t="str">
        <x:v>75</x:v>
      </x:c>
      <x:c r="F14" s="18" t="str">
        <x:v>%</x:v>
      </x:c>
      <x:c r="G14" s="18" t="n">
        <x:v>75</x:v>
      </x:c>
      <x:c r="H14" s="18" t="str">
        <x:v>75</x:v>
      </x:c>
      <x:c r="I14" s="18" t="n">
        <x:v>5</x:v>
      </x:c>
      <x:c r="J14" s="18" t="n">
        <x:v>2</x:v>
      </x:c>
      <x:c r="K14" s="28" t="b">
        <x:v>1</x:v>
      </x:c>
      <x:c r="L14" s="29" t="b">
        <x:v>1</x:v>
      </x:c>
      <x:c r="M14" s="19" t="str"/>
    </x:row>
    <x:row r="15">
      <x:c r="A15" s="20" t="str">
        <x:v>aspect_ratio</x:v>
      </x:c>
      <x:c r="B15" s="20" t="str">
        <x:v>80</x:v>
      </x:c>
      <x:c r="C15" s="19" t="n">
        <x:v>80</x:v>
      </x:c>
      <x:c r="D15" s="20" t="n">
        <x:v>80</x:v>
      </x:c>
      <x:c r="E15" s="20" t="str">
        <x:v>80</x:v>
      </x:c>
      <x:c r="F15" s="20" t="str">
        <x:v>%</x:v>
      </x:c>
      <x:c r="G15" s="20" t="n">
        <x:v>80</x:v>
      </x:c>
      <x:c r="H15" s="20" t="str">
        <x:v>80</x:v>
      </x:c>
      <x:c r="I15" s="20" t="n">
        <x:v>11</x:v>
      </x:c>
      <x:c r="J15" s="20" t="n">
        <x:v>11</x:v>
      </x:c>
      <x:c r="K15" s="31" t="b">
        <x:v>1</x:v>
      </x:c>
      <x:c r="L15" s="29" t="b">
        <x:v>1</x:v>
      </x:c>
      <x:c r="M15" s="19" t="str"/>
    </x:row>
    <x:row r="16">
      <x:c r="A16" s="18" t="str">
        <x:v>aspect_ratio</x:v>
      </x:c>
      <x:c r="B16" s="18" t="str">
        <x:v>95</x:v>
      </x:c>
      <x:c r="C16" s="19" t="n">
        <x:v>95</x:v>
      </x:c>
      <x:c r="D16" s="18" t="n">
        <x:v>95</x:v>
      </x:c>
      <x:c r="E16" s="18" t="str">
        <x:v>95</x:v>
      </x:c>
      <x:c r="F16" s="18" t="str">
        <x:v>%</x:v>
      </x:c>
      <x:c r="G16" s="18" t="n">
        <x:v>95</x:v>
      </x:c>
      <x:c r="H16" s="18" t="str">
        <x:v>95</x:v>
      </x:c>
      <x:c r="I16" s="18" t="n">
        <x:v>1</x:v>
      </x:c>
      <x:c r="J16" s="18" t="n">
        <x:v>1</x:v>
      </x:c>
      <x:c r="K16" s="28" t="b">
        <x:v>1</x:v>
      </x:c>
      <x:c r="L16" s="29" t="b">
        <x:v>1</x:v>
      </x:c>
      <x:c r="M16" s="19" t="str"/>
    </x:row>
    <x:row r="17">
      <x:c r="A17" s="20" t="str">
        <x:v>availability</x:v>
      </x:c>
      <x:c r="B17" s="20" t="str">
        <x:v>true</x:v>
      </x:c>
      <x:c r="C17" s="29" t="b">
        <x:v>1</x:v>
      </x:c>
      <x:c r="D17" s="31" t="b">
        <x:v>1</x:v>
      </x:c>
      <x:c r="E17" s="20" t="str">
        <x:v>Доступно</x:v>
      </x:c>
      <x:c r="F17" s="20" t="str"/>
      <x:c r="G17" s="20" t="str"/>
      <x:c r="H17" s="20" t="str">
        <x:v>Доступно</x:v>
      </x:c>
      <x:c r="I17" s="20" t="n">
        <x:v>48</x:v>
      </x:c>
      <x:c r="J17" s="20" t="n">
        <x:v>24</x:v>
      </x:c>
      <x:c r="K17" s="31" t="b">
        <x:v>1</x:v>
      </x:c>
      <x:c r="L17" s="29" t="b">
        <x:v>0</x:v>
      </x:c>
      <x:c r="M17" s="19" t="str">
        <x:v>Значение зарезервировано; доступность отсутствует в PDF.</x:v>
      </x:c>
    </x:row>
    <x:row r="18">
      <x:c r="A18" s="18" t="str">
        <x:v>axle_position</x:v>
      </x:c>
      <x:c r="B18" s="18" t="str">
        <x:v>drive</x:v>
      </x:c>
      <x:c r="C18" s="19" t="str">
        <x:v>drive</x:v>
      </x:c>
      <x:c r="D18" s="18" t="str">
        <x:v>drive</x:v>
      </x:c>
      <x:c r="E18" s="18" t="str">
        <x:v>Ведущая ось</x:v>
      </x:c>
      <x:c r="F18" s="18" t="str"/>
      <x:c r="G18" s="18" t="str"/>
      <x:c r="H18" s="18" t="str">
        <x:v>Ведущая ось</x:v>
      </x:c>
      <x:c r="I18" s="18" t="n">
        <x:v>34</x:v>
      </x:c>
      <x:c r="J18" s="18" t="n">
        <x:v>19</x:v>
      </x:c>
      <x:c r="K18" s="28" t="b">
        <x:v>1</x:v>
      </x:c>
      <x:c r="L18" s="29" t="b">
        <x:v>1</x:v>
      </x:c>
      <x:c r="M18" s="19" t="str">
        <x:v>Значение наследуется вариантами от модели.</x:v>
      </x:c>
    </x:row>
    <x:row r="19">
      <x:c r="A19" s="20" t="str">
        <x:v>axle_position</x:v>
      </x:c>
      <x:c r="B19" s="20" t="str">
        <x:v>trailer</x:v>
      </x:c>
      <x:c r="C19" s="19" t="str">
        <x:v>trailer</x:v>
      </x:c>
      <x:c r="D19" s="20" t="str">
        <x:v>trailer</x:v>
      </x:c>
      <x:c r="E19" s="20" t="str">
        <x:v>Прицепная ось</x:v>
      </x:c>
      <x:c r="F19" s="20" t="str"/>
      <x:c r="G19" s="20" t="str"/>
      <x:c r="H19" s="20" t="str">
        <x:v>Прицепная ось</x:v>
      </x:c>
      <x:c r="I19" s="20" t="n">
        <x:v>33</x:v>
      </x:c>
      <x:c r="J19" s="20" t="n">
        <x:v>18</x:v>
      </x:c>
      <x:c r="K19" s="31" t="b">
        <x:v>1</x:v>
      </x:c>
      <x:c r="L19" s="29" t="b">
        <x:v>1</x:v>
      </x:c>
      <x:c r="M19" s="19" t="str">
        <x:v>Значение наследуется вариантами от модели.</x:v>
      </x:c>
    </x:row>
    <x:row r="20">
      <x:c r="A20" s="18" t="str">
        <x:v>axle_position</x:v>
      </x:c>
      <x:c r="B20" s="18" t="str">
        <x:v>steer</x:v>
      </x:c>
      <x:c r="C20" s="19" t="str">
        <x:v>steer</x:v>
      </x:c>
      <x:c r="D20" s="18" t="str">
        <x:v>steer</x:v>
      </x:c>
      <x:c r="E20" s="18" t="str">
        <x:v>Рулевая ось</x:v>
      </x:c>
      <x:c r="F20" s="18" t="str"/>
      <x:c r="G20" s="18" t="str"/>
      <x:c r="H20" s="18" t="str">
        <x:v>Рулевая ось</x:v>
      </x:c>
      <x:c r="I20" s="18" t="n">
        <x:v>27</x:v>
      </x:c>
      <x:c r="J20" s="18" t="n">
        <x:v>14</x:v>
      </x:c>
      <x:c r="K20" s="28" t="b">
        <x:v>1</x:v>
      </x:c>
      <x:c r="L20" s="29" t="b">
        <x:v>1</x:v>
      </x:c>
      <x:c r="M20" s="19" t="str">
        <x:v>Значение наследуется вариантами от модели.</x:v>
      </x:c>
    </x:row>
    <x:row r="21">
      <x:c r="A21" s="20" t="str">
        <x:v>exact_size</x:v>
      </x:c>
      <x:c r="B21" s="20" t="str">
        <x:v>12-00r20</x:v>
      </x:c>
      <x:c r="C21" s="19" t="str">
        <x:v>12.00R20</x:v>
      </x:c>
      <x:c r="D21" s="20" t="str">
        <x:v>12.00R20</x:v>
      </x:c>
      <x:c r="E21" s="20" t="str">
        <x:v>12.00R20</x:v>
      </x:c>
      <x:c r="F21" s="20" t="str"/>
      <x:c r="G21" s="20" t="str"/>
      <x:c r="H21" s="20" t="str">
        <x:v>12.00R20</x:v>
      </x:c>
      <x:c r="I21" s="20" t="n">
        <x:v>5</x:v>
      </x:c>
      <x:c r="J21" s="20" t="n">
        <x:v>4</x:v>
      </x:c>
      <x:c r="K21" s="31" t="b">
        <x:v>1</x:v>
      </x:c>
      <x:c r="L21" s="29" t="b">
        <x:v>1</x:v>
      </x:c>
      <x:c r="M21" s="19" t="str"/>
    </x:row>
    <x:row r="22">
      <x:c r="A22" s="18" t="str">
        <x:v>exact_size</x:v>
      </x:c>
      <x:c r="B22" s="18" t="str">
        <x:v>12-00r24</x:v>
      </x:c>
      <x:c r="C22" s="19" t="str">
        <x:v>12.00R24</x:v>
      </x:c>
      <x:c r="D22" s="18" t="str">
        <x:v>12.00R24</x:v>
      </x:c>
      <x:c r="E22" s="18" t="str">
        <x:v>12.00R24</x:v>
      </x:c>
      <x:c r="F22" s="18" t="str"/>
      <x:c r="G22" s="18" t="str"/>
      <x:c r="H22" s="18" t="str">
        <x:v>12.00R24</x:v>
      </x:c>
      <x:c r="I22" s="18" t="n">
        <x:v>1</x:v>
      </x:c>
      <x:c r="J22" s="18" t="n">
        <x:v>1</x:v>
      </x:c>
      <x:c r="K22" s="28" t="b">
        <x:v>1</x:v>
      </x:c>
      <x:c r="L22" s="29" t="b">
        <x:v>1</x:v>
      </x:c>
      <x:c r="M22" s="19" t="str"/>
    </x:row>
    <x:row r="23">
      <x:c r="A23" s="20" t="str">
        <x:v>exact_size</x:v>
      </x:c>
      <x:c r="B23" s="20" t="str">
        <x:v>13r22-5</x:v>
      </x:c>
      <x:c r="C23" s="19" t="str">
        <x:v>13R22.5</x:v>
      </x:c>
      <x:c r="D23" s="20" t="str">
        <x:v>13R22.5</x:v>
      </x:c>
      <x:c r="E23" s="20" t="str">
        <x:v>13R22.5</x:v>
      </x:c>
      <x:c r="F23" s="20" t="str"/>
      <x:c r="G23" s="20" t="str"/>
      <x:c r="H23" s="20" t="str">
        <x:v>13R22.5</x:v>
      </x:c>
      <x:c r="I23" s="20" t="n">
        <x:v>2</x:v>
      </x:c>
      <x:c r="J23" s="20" t="n">
        <x:v>2</x:v>
      </x:c>
      <x:c r="K23" s="31" t="b">
        <x:v>1</x:v>
      </x:c>
      <x:c r="L23" s="29" t="b">
        <x:v>1</x:v>
      </x:c>
      <x:c r="M23" s="19" t="str"/>
    </x:row>
    <x:row r="24">
      <x:c r="A24" s="18" t="str">
        <x:v>exact_size</x:v>
      </x:c>
      <x:c r="B24" s="18" t="str">
        <x:v>215-75r17-5</x:v>
      </x:c>
      <x:c r="C24" s="19" t="str">
        <x:v>215/75R17.5</x:v>
      </x:c>
      <x:c r="D24" s="18" t="str">
        <x:v>215/75R17.5</x:v>
      </x:c>
      <x:c r="E24" s="18" t="str">
        <x:v>215/75R17.5</x:v>
      </x:c>
      <x:c r="F24" s="18" t="str"/>
      <x:c r="G24" s="18" t="str"/>
      <x:c r="H24" s="18" t="str">
        <x:v>215/75R17.5</x:v>
      </x:c>
      <x:c r="I24" s="18" t="n">
        <x:v>2</x:v>
      </x:c>
      <x:c r="J24" s="18" t="n">
        <x:v>2</x:v>
      </x:c>
      <x:c r="K24" s="28" t="b">
        <x:v>1</x:v>
      </x:c>
      <x:c r="L24" s="29" t="b">
        <x:v>1</x:v>
      </x:c>
      <x:c r="M24" s="19" t="str"/>
    </x:row>
    <x:row r="25">
      <x:c r="A25" s="20" t="str">
        <x:v>exact_size</x:v>
      </x:c>
      <x:c r="B25" s="20" t="str">
        <x:v>225-75r17-5</x:v>
      </x:c>
      <x:c r="C25" s="19" t="str">
        <x:v>225/75R17.5</x:v>
      </x:c>
      <x:c r="D25" s="20" t="str">
        <x:v>225/75R17.5</x:v>
      </x:c>
      <x:c r="E25" s="20" t="str">
        <x:v>225/75R17.5</x:v>
      </x:c>
      <x:c r="F25" s="20" t="str"/>
      <x:c r="G25" s="20" t="str"/>
      <x:c r="H25" s="20" t="str">
        <x:v>225/75R17.5</x:v>
      </x:c>
      <x:c r="I25" s="20" t="n">
        <x:v>1</x:v>
      </x:c>
      <x:c r="J25" s="20" t="n">
        <x:v>1</x:v>
      </x:c>
      <x:c r="K25" s="31" t="b">
        <x:v>1</x:v>
      </x:c>
      <x:c r="L25" s="29" t="b">
        <x:v>1</x:v>
      </x:c>
      <x:c r="M25" s="19" t="str"/>
    </x:row>
    <x:row r="26">
      <x:c r="A26" s="18" t="str">
        <x:v>exact_size</x:v>
      </x:c>
      <x:c r="B26" s="18" t="str">
        <x:v>235-75r17-5</x:v>
      </x:c>
      <x:c r="C26" s="19" t="str">
        <x:v>235/75R17.5</x:v>
      </x:c>
      <x:c r="D26" s="18" t="str">
        <x:v>235/75R17.5</x:v>
      </x:c>
      <x:c r="E26" s="18" t="str">
        <x:v>235/75R17.5</x:v>
      </x:c>
      <x:c r="F26" s="18" t="str"/>
      <x:c r="G26" s="18" t="str"/>
      <x:c r="H26" s="18" t="str">
        <x:v>235/75R17.5</x:v>
      </x:c>
      <x:c r="I26" s="18" t="n">
        <x:v>2</x:v>
      </x:c>
      <x:c r="J26" s="18" t="n">
        <x:v>2</x:v>
      </x:c>
      <x:c r="K26" s="28" t="b">
        <x:v>1</x:v>
      </x:c>
      <x:c r="L26" s="29" t="b">
        <x:v>1</x:v>
      </x:c>
      <x:c r="M26" s="19" t="str"/>
    </x:row>
    <x:row r="27">
      <x:c r="A27" s="20" t="str">
        <x:v>exact_size</x:v>
      </x:c>
      <x:c r="B27" s="20" t="str">
        <x:v>245-70r19-5</x:v>
      </x:c>
      <x:c r="C27" s="19" t="str">
        <x:v>245/70R19.5</x:v>
      </x:c>
      <x:c r="D27" s="20" t="str">
        <x:v>245/70R19.5</x:v>
      </x:c>
      <x:c r="E27" s="20" t="str">
        <x:v>245/70R19.5</x:v>
      </x:c>
      <x:c r="F27" s="20" t="str"/>
      <x:c r="G27" s="20" t="str"/>
      <x:c r="H27" s="20" t="str">
        <x:v>245/70R19.5</x:v>
      </x:c>
      <x:c r="I27" s="20" t="n">
        <x:v>1</x:v>
      </x:c>
      <x:c r="J27" s="20" t="n">
        <x:v>1</x:v>
      </x:c>
      <x:c r="K27" s="31" t="b">
        <x:v>1</x:v>
      </x:c>
      <x:c r="L27" s="29" t="b">
        <x:v>1</x:v>
      </x:c>
      <x:c r="M27" s="19" t="str"/>
    </x:row>
    <x:row r="28">
      <x:c r="A28" s="18" t="str">
        <x:v>exact_size</x:v>
      </x:c>
      <x:c r="B28" s="18" t="str">
        <x:v>265-70r19-5</x:v>
      </x:c>
      <x:c r="C28" s="19" t="str">
        <x:v>265/70R19.5</x:v>
      </x:c>
      <x:c r="D28" s="18" t="str">
        <x:v>265/70R19.5</x:v>
      </x:c>
      <x:c r="E28" s="18" t="str">
        <x:v>265/70R19.5</x:v>
      </x:c>
      <x:c r="F28" s="18" t="str"/>
      <x:c r="G28" s="18" t="str"/>
      <x:c r="H28" s="18" t="str">
        <x:v>265/70R19.5</x:v>
      </x:c>
      <x:c r="I28" s="18" t="n">
        <x:v>2</x:v>
      </x:c>
      <x:c r="J28" s="18" t="n">
        <x:v>2</x:v>
      </x:c>
      <x:c r="K28" s="28" t="b">
        <x:v>1</x:v>
      </x:c>
      <x:c r="L28" s="29" t="b">
        <x:v>1</x:v>
      </x:c>
      <x:c r="M28" s="19" t="str"/>
    </x:row>
    <x:row r="29">
      <x:c r="A29" s="20" t="str">
        <x:v>exact_size</x:v>
      </x:c>
      <x:c r="B29" s="20" t="str">
        <x:v>275-70r22-5</x:v>
      </x:c>
      <x:c r="C29" s="19" t="str">
        <x:v>275/70R22.5</x:v>
      </x:c>
      <x:c r="D29" s="20" t="str">
        <x:v>275/70R22.5</x:v>
      </x:c>
      <x:c r="E29" s="20" t="str">
        <x:v>275/70R22.5</x:v>
      </x:c>
      <x:c r="F29" s="20" t="str"/>
      <x:c r="G29" s="20" t="str"/>
      <x:c r="H29" s="20" t="str">
        <x:v>275/70R22.5</x:v>
      </x:c>
      <x:c r="I29" s="20" t="n">
        <x:v>1</x:v>
      </x:c>
      <x:c r="J29" s="20" t="n">
        <x:v>1</x:v>
      </x:c>
      <x:c r="K29" s="31" t="b">
        <x:v>1</x:v>
      </x:c>
      <x:c r="L29" s="29" t="b">
        <x:v>1</x:v>
      </x:c>
      <x:c r="M29" s="19" t="str"/>
    </x:row>
    <x:row r="30">
      <x:c r="A30" s="18" t="str">
        <x:v>exact_size</x:v>
      </x:c>
      <x:c r="B30" s="18" t="str">
        <x:v>285-70r19-5</x:v>
      </x:c>
      <x:c r="C30" s="19" t="str">
        <x:v>285/70R19.5</x:v>
      </x:c>
      <x:c r="D30" s="18" t="str">
        <x:v>285/70R19.5</x:v>
      </x:c>
      <x:c r="E30" s="18" t="str">
        <x:v>285/70R19.5</x:v>
      </x:c>
      <x:c r="F30" s="18" t="str"/>
      <x:c r="G30" s="18" t="str"/>
      <x:c r="H30" s="18" t="str">
        <x:v>285/70R19.5</x:v>
      </x:c>
      <x:c r="I30" s="18" t="n">
        <x:v>1</x:v>
      </x:c>
      <x:c r="J30" s="18" t="n">
        <x:v>1</x:v>
      </x:c>
      <x:c r="K30" s="28" t="b">
        <x:v>1</x:v>
      </x:c>
      <x:c r="L30" s="29" t="b">
        <x:v>1</x:v>
      </x:c>
      <x:c r="M30" s="19" t="str"/>
    </x:row>
    <x:row r="31">
      <x:c r="A31" s="20" t="str">
        <x:v>exact_size</x:v>
      </x:c>
      <x:c r="B31" s="20" t="str">
        <x:v>295-60r22-5</x:v>
      </x:c>
      <x:c r="C31" s="19" t="str">
        <x:v>295/60R22.5</x:v>
      </x:c>
      <x:c r="D31" s="20" t="str">
        <x:v>295/60R22.5</x:v>
      </x:c>
      <x:c r="E31" s="20" t="str">
        <x:v>295/60R22.5</x:v>
      </x:c>
      <x:c r="F31" s="20" t="str"/>
      <x:c r="G31" s="20" t="str"/>
      <x:c r="H31" s="20" t="str">
        <x:v>295/60R22.5</x:v>
      </x:c>
      <x:c r="I31" s="20" t="n">
        <x:v>1</x:v>
      </x:c>
      <x:c r="J31" s="20" t="n">
        <x:v>1</x:v>
      </x:c>
      <x:c r="K31" s="31" t="b">
        <x:v>1</x:v>
      </x:c>
      <x:c r="L31" s="29" t="b">
        <x:v>1</x:v>
      </x:c>
      <x:c r="M31" s="19" t="str"/>
    </x:row>
    <x:row r="32">
      <x:c r="A32" s="18" t="str">
        <x:v>exact_size</x:v>
      </x:c>
      <x:c r="B32" s="18" t="str">
        <x:v>295-80r22-5</x:v>
      </x:c>
      <x:c r="C32" s="19" t="str">
        <x:v>295/80R22.5</x:v>
      </x:c>
      <x:c r="D32" s="18" t="str">
        <x:v>295/80R22.5</x:v>
      </x:c>
      <x:c r="E32" s="18" t="str">
        <x:v>295/80R22.5</x:v>
      </x:c>
      <x:c r="F32" s="18" t="str"/>
      <x:c r="G32" s="18" t="str"/>
      <x:c r="H32" s="18" t="str">
        <x:v>295/80R22.5</x:v>
      </x:c>
      <x:c r="I32" s="18" t="n">
        <x:v>4</x:v>
      </x:c>
      <x:c r="J32" s="18" t="n">
        <x:v>4</x:v>
      </x:c>
      <x:c r="K32" s="28" t="b">
        <x:v>1</x:v>
      </x:c>
      <x:c r="L32" s="29" t="b">
        <x:v>1</x:v>
      </x:c>
      <x:c r="M32" s="19" t="str"/>
    </x:row>
    <x:row r="33">
      <x:c r="A33" s="20" t="str">
        <x:v>exact_size</x:v>
      </x:c>
      <x:c r="B33" s="20" t="str">
        <x:v>315-60r22-5</x:v>
      </x:c>
      <x:c r="C33" s="19" t="str">
        <x:v>315/60R22.5</x:v>
      </x:c>
      <x:c r="D33" s="20" t="str">
        <x:v>315/60R22.5</x:v>
      </x:c>
      <x:c r="E33" s="20" t="str">
        <x:v>315/60R22.5</x:v>
      </x:c>
      <x:c r="F33" s="20" t="str"/>
      <x:c r="G33" s="20" t="str"/>
      <x:c r="H33" s="20" t="str">
        <x:v>315/60R22.5</x:v>
      </x:c>
      <x:c r="I33" s="20" t="n">
        <x:v>2</x:v>
      </x:c>
      <x:c r="J33" s="20" t="n">
        <x:v>2</x:v>
      </x:c>
      <x:c r="K33" s="31" t="b">
        <x:v>1</x:v>
      </x:c>
      <x:c r="L33" s="29" t="b">
        <x:v>1</x:v>
      </x:c>
      <x:c r="M33" s="19" t="str"/>
    </x:row>
    <x:row r="34">
      <x:c r="A34" s="18" t="str">
        <x:v>exact_size</x:v>
      </x:c>
      <x:c r="B34" s="18" t="str">
        <x:v>315-70r22-5</x:v>
      </x:c>
      <x:c r="C34" s="19" t="str">
        <x:v>315/70R22.5</x:v>
      </x:c>
      <x:c r="D34" s="18" t="str">
        <x:v>315/70R22.5</x:v>
      </x:c>
      <x:c r="E34" s="18" t="str">
        <x:v>315/70R22.5</x:v>
      </x:c>
      <x:c r="F34" s="18" t="str"/>
      <x:c r="G34" s="18" t="str"/>
      <x:c r="H34" s="18" t="str">
        <x:v>315/70R22.5</x:v>
      </x:c>
      <x:c r="I34" s="18" t="n">
        <x:v>5</x:v>
      </x:c>
      <x:c r="J34" s="18" t="n">
        <x:v>5</x:v>
      </x:c>
      <x:c r="K34" s="28" t="b">
        <x:v>1</x:v>
      </x:c>
      <x:c r="L34" s="29" t="b">
        <x:v>1</x:v>
      </x:c>
      <x:c r="M34" s="19" t="str"/>
    </x:row>
    <x:row r="35">
      <x:c r="A35" s="20" t="str">
        <x:v>exact_size</x:v>
      </x:c>
      <x:c r="B35" s="20" t="str">
        <x:v>315-80r22-5</x:v>
      </x:c>
      <x:c r="C35" s="19" t="str">
        <x:v>315/80R22.5</x:v>
      </x:c>
      <x:c r="D35" s="20" t="str">
        <x:v>315/80R22.5</x:v>
      </x:c>
      <x:c r="E35" s="20" t="str">
        <x:v>315/80R22.5</x:v>
      </x:c>
      <x:c r="F35" s="20" t="str"/>
      <x:c r="G35" s="20" t="str"/>
      <x:c r="H35" s="20" t="str">
        <x:v>315/80R22.5</x:v>
      </x:c>
      <x:c r="I35" s="20" t="n">
        <x:v>7</x:v>
      </x:c>
      <x:c r="J35" s="20" t="n">
        <x:v>7</x:v>
      </x:c>
      <x:c r="K35" s="31" t="b">
        <x:v>1</x:v>
      </x:c>
      <x:c r="L35" s="29" t="b">
        <x:v>1</x:v>
      </x:c>
      <x:c r="M35" s="19" t="str"/>
    </x:row>
    <x:row r="36">
      <x:c r="A36" s="18" t="str">
        <x:v>exact_size</x:v>
      </x:c>
      <x:c r="B36" s="18" t="str">
        <x:v>325-95r24</x:v>
      </x:c>
      <x:c r="C36" s="19" t="str">
        <x:v>325/95R24</x:v>
      </x:c>
      <x:c r="D36" s="18" t="str">
        <x:v>325/95R24</x:v>
      </x:c>
      <x:c r="E36" s="18" t="str">
        <x:v>325/95R24</x:v>
      </x:c>
      <x:c r="F36" s="18" t="str"/>
      <x:c r="G36" s="18" t="str"/>
      <x:c r="H36" s="18" t="str">
        <x:v>325/95R24</x:v>
      </x:c>
      <x:c r="I36" s="18" t="n">
        <x:v>1</x:v>
      </x:c>
      <x:c r="J36" s="18" t="n">
        <x:v>1</x:v>
      </x:c>
      <x:c r="K36" s="28" t="b">
        <x:v>1</x:v>
      </x:c>
      <x:c r="L36" s="29" t="b">
        <x:v>1</x:v>
      </x:c>
      <x:c r="M36" s="19" t="str"/>
    </x:row>
    <x:row r="37">
      <x:c r="A37" s="20" t="str">
        <x:v>exact_size</x:v>
      </x:c>
      <x:c r="B37" s="20" t="str">
        <x:v>385-55r22-5</x:v>
      </x:c>
      <x:c r="C37" s="19" t="str">
        <x:v>385/55R22.5</x:v>
      </x:c>
      <x:c r="D37" s="20" t="str">
        <x:v>385/55R22.5</x:v>
      </x:c>
      <x:c r="E37" s="20" t="str">
        <x:v>385/55R22.5</x:v>
      </x:c>
      <x:c r="F37" s="20" t="str"/>
      <x:c r="G37" s="20" t="str"/>
      <x:c r="H37" s="20" t="str">
        <x:v>385/55R22.5</x:v>
      </x:c>
      <x:c r="I37" s="20" t="n">
        <x:v>2</x:v>
      </x:c>
      <x:c r="J37" s="20" t="n">
        <x:v>2</x:v>
      </x:c>
      <x:c r="K37" s="31" t="b">
        <x:v>1</x:v>
      </x:c>
      <x:c r="L37" s="29" t="b">
        <x:v>1</x:v>
      </x:c>
      <x:c r="M37" s="19" t="str"/>
    </x:row>
    <x:row r="38">
      <x:c r="A38" s="18" t="str">
        <x:v>exact_size</x:v>
      </x:c>
      <x:c r="B38" s="18" t="str">
        <x:v>385-65r22-5</x:v>
      </x:c>
      <x:c r="C38" s="19" t="str">
        <x:v>385/65R22.5</x:v>
      </x:c>
      <x:c r="D38" s="18" t="str">
        <x:v>385/65R22.5</x:v>
      </x:c>
      <x:c r="E38" s="18" t="str">
        <x:v>385/65R22.5</x:v>
      </x:c>
      <x:c r="F38" s="18" t="str"/>
      <x:c r="G38" s="18" t="str"/>
      <x:c r="H38" s="18" t="str">
        <x:v>385/65R22.5</x:v>
      </x:c>
      <x:c r="I38" s="18" t="n">
        <x:v>4</x:v>
      </x:c>
      <x:c r="J38" s="18" t="n">
        <x:v>4</x:v>
      </x:c>
      <x:c r="K38" s="28" t="b">
        <x:v>1</x:v>
      </x:c>
      <x:c r="L38" s="29" t="b">
        <x:v>1</x:v>
      </x:c>
      <x:c r="M38" s="19" t="str"/>
    </x:row>
    <x:row r="39">
      <x:c r="A39" s="20" t="str">
        <x:v>exact_size</x:v>
      </x:c>
      <x:c r="B39" s="20" t="str">
        <x:v>425-65r22-5</x:v>
      </x:c>
      <x:c r="C39" s="19" t="str">
        <x:v>425/65R22.5</x:v>
      </x:c>
      <x:c r="D39" s="20" t="str">
        <x:v>425/65R22.5</x:v>
      </x:c>
      <x:c r="E39" s="20" t="str">
        <x:v>425/65R22.5</x:v>
      </x:c>
      <x:c r="F39" s="20" t="str"/>
      <x:c r="G39" s="20" t="str"/>
      <x:c r="H39" s="20" t="str">
        <x:v>425/65R22.5</x:v>
      </x:c>
      <x:c r="I39" s="20" t="n">
        <x:v>1</x:v>
      </x:c>
      <x:c r="J39" s="20" t="n">
        <x:v>1</x:v>
      </x:c>
      <x:c r="K39" s="31" t="b">
        <x:v>1</x:v>
      </x:c>
      <x:c r="L39" s="29" t="b">
        <x:v>1</x:v>
      </x:c>
      <x:c r="M39" s="19" t="str"/>
    </x:row>
    <x:row r="40">
      <x:c r="A40" s="18" t="str">
        <x:v>exact_size</x:v>
      </x:c>
      <x:c r="B40" s="18" t="str">
        <x:v>435-50r19-5</x:v>
      </x:c>
      <x:c r="C40" s="19" t="str">
        <x:v>435/50R19.5</x:v>
      </x:c>
      <x:c r="D40" s="18" t="str">
        <x:v>435/50R19.5</x:v>
      </x:c>
      <x:c r="E40" s="18" t="str">
        <x:v>435/50R19.5</x:v>
      </x:c>
      <x:c r="F40" s="18" t="str"/>
      <x:c r="G40" s="18" t="str"/>
      <x:c r="H40" s="18" t="str">
        <x:v>435/50R19.5</x:v>
      </x:c>
      <x:c r="I40" s="18" t="n">
        <x:v>1</x:v>
      </x:c>
      <x:c r="J40" s="18" t="n">
        <x:v>1</x:v>
      </x:c>
      <x:c r="K40" s="28" t="b">
        <x:v>1</x:v>
      </x:c>
      <x:c r="L40" s="29" t="b">
        <x:v>1</x:v>
      </x:c>
      <x:c r="M40" s="19" t="str"/>
    </x:row>
    <x:row r="41">
      <x:c r="A41" s="20" t="str">
        <x:v>exact_size</x:v>
      </x:c>
      <x:c r="B41" s="20" t="str">
        <x:v>445-45r19-5</x:v>
      </x:c>
      <x:c r="C41" s="19" t="str">
        <x:v>445/45R19.5</x:v>
      </x:c>
      <x:c r="D41" s="20" t="str">
        <x:v>445/45R19.5</x:v>
      </x:c>
      <x:c r="E41" s="20" t="str">
        <x:v>445/45R19.5</x:v>
      </x:c>
      <x:c r="F41" s="20" t="str"/>
      <x:c r="G41" s="20" t="str"/>
      <x:c r="H41" s="20" t="str">
        <x:v>445/45R19.5</x:v>
      </x:c>
      <x:c r="I41" s="20" t="n">
        <x:v>1</x:v>
      </x:c>
      <x:c r="J41" s="20" t="n">
        <x:v>1</x:v>
      </x:c>
      <x:c r="K41" s="31" t="b">
        <x:v>1</x:v>
      </x:c>
      <x:c r="L41" s="29" t="b">
        <x:v>1</x:v>
      </x:c>
      <x:c r="M41" s="19" t="str"/>
    </x:row>
    <x:row r="42">
      <x:c r="A42" s="18" t="str">
        <x:v>exact_size</x:v>
      </x:c>
      <x:c r="B42" s="18" t="str">
        <x:v>445-65r22-5</x:v>
      </x:c>
      <x:c r="C42" s="19" t="str">
        <x:v>445/65R22.5</x:v>
      </x:c>
      <x:c r="D42" s="18" t="str">
        <x:v>445/65R22.5</x:v>
      </x:c>
      <x:c r="E42" s="18" t="str">
        <x:v>445/65R22.5</x:v>
      </x:c>
      <x:c r="F42" s="18" t="str"/>
      <x:c r="G42" s="18" t="str"/>
      <x:c r="H42" s="18" t="str">
        <x:v>445/65R22.5</x:v>
      </x:c>
      <x:c r="I42" s="18" t="n">
        <x:v>1</x:v>
      </x:c>
      <x:c r="J42" s="18" t="n">
        <x:v>1</x:v>
      </x:c>
      <x:c r="K42" s="28" t="b">
        <x:v>1</x:v>
      </x:c>
      <x:c r="L42" s="29" t="b">
        <x:v>1</x:v>
      </x:c>
      <x:c r="M42" s="19" t="str"/>
    </x:row>
    <x:row r="43">
      <x:c r="A43" s="20" t="str">
        <x:v>load_index</x:v>
      </x:c>
      <x:c r="B43" s="20" t="str">
        <x:v>126</x:v>
      </x:c>
      <x:c r="C43" s="19" t="n">
        <x:v>126</x:v>
      </x:c>
      <x:c r="D43" s="20" t="n">
        <x:v>126</x:v>
      </x:c>
      <x:c r="E43" s="20" t="str">
        <x:v>126</x:v>
      </x:c>
      <x:c r="F43" s="20" t="str"/>
      <x:c r="G43" s="20" t="n">
        <x:v>126</x:v>
      </x:c>
      <x:c r="H43" s="20" t="str">
        <x:v>126</x:v>
      </x:c>
      <x:c r="I43" s="20" t="n">
        <x:v>1</x:v>
      </x:c>
      <x:c r="J43" s="20" t="n">
        <x:v>1</x:v>
      </x:c>
      <x:c r="K43" s="31" t="b">
        <x:v>1</x:v>
      </x:c>
      <x:c r="L43" s="29" t="b">
        <x:v>1</x:v>
      </x:c>
      <x:c r="M43" s="19" t="str"/>
    </x:row>
    <x:row r="44">
      <x:c r="A44" s="18" t="str">
        <x:v>load_index</x:v>
      </x:c>
      <x:c r="B44" s="18" t="str">
        <x:v>128</x:v>
      </x:c>
      <x:c r="C44" s="19" t="n">
        <x:v>128</x:v>
      </x:c>
      <x:c r="D44" s="18" t="n">
        <x:v>128</x:v>
      </x:c>
      <x:c r="E44" s="18" t="str">
        <x:v>128</x:v>
      </x:c>
      <x:c r="F44" s="18" t="str"/>
      <x:c r="G44" s="18" t="n">
        <x:v>128</x:v>
      </x:c>
      <x:c r="H44" s="18" t="str">
        <x:v>128</x:v>
      </x:c>
      <x:c r="I44" s="18" t="n">
        <x:v>1</x:v>
      </x:c>
      <x:c r="J44" s="18" t="n">
        <x:v>1</x:v>
      </x:c>
      <x:c r="K44" s="28" t="b">
        <x:v>1</x:v>
      </x:c>
      <x:c r="L44" s="29" t="b">
        <x:v>1</x:v>
      </x:c>
      <x:c r="M44" s="19" t="str"/>
    </x:row>
    <x:row r="45">
      <x:c r="A45" s="20" t="str">
        <x:v>load_index</x:v>
      </x:c>
      <x:c r="B45" s="20" t="str">
        <x:v>129</x:v>
      </x:c>
      <x:c r="C45" s="19" t="n">
        <x:v>129</x:v>
      </x:c>
      <x:c r="D45" s="20" t="n">
        <x:v>129</x:v>
      </x:c>
      <x:c r="E45" s="20" t="str">
        <x:v>129</x:v>
      </x:c>
      <x:c r="F45" s="20" t="str"/>
      <x:c r="G45" s="20" t="n">
        <x:v>129</x:v>
      </x:c>
      <x:c r="H45" s="20" t="str">
        <x:v>129</x:v>
      </x:c>
      <x:c r="I45" s="20" t="n">
        <x:v>1</x:v>
      </x:c>
      <x:c r="J45" s="20" t="n">
        <x:v>1</x:v>
      </x:c>
      <x:c r="K45" s="31" t="b">
        <x:v>1</x:v>
      </x:c>
      <x:c r="L45" s="29" t="b">
        <x:v>1</x:v>
      </x:c>
      <x:c r="M45" s="19" t="str"/>
    </x:row>
    <x:row r="46">
      <x:c r="A46" s="18" t="str">
        <x:v>load_index</x:v>
      </x:c>
      <x:c r="B46" s="18" t="str">
        <x:v>132</x:v>
      </x:c>
      <x:c r="C46" s="19" t="n">
        <x:v>132</x:v>
      </x:c>
      <x:c r="D46" s="18" t="n">
        <x:v>132</x:v>
      </x:c>
      <x:c r="E46" s="18" t="str">
        <x:v>132</x:v>
      </x:c>
      <x:c r="F46" s="18" t="str"/>
      <x:c r="G46" s="18" t="n">
        <x:v>132</x:v>
      </x:c>
      <x:c r="H46" s="18" t="str">
        <x:v>132</x:v>
      </x:c>
      <x:c r="I46" s="18" t="n">
        <x:v>1</x:v>
      </x:c>
      <x:c r="J46" s="18" t="n">
        <x:v>1</x:v>
      </x:c>
      <x:c r="K46" s="28" t="b">
        <x:v>1</x:v>
      </x:c>
      <x:c r="L46" s="29" t="b">
        <x:v>1</x:v>
      </x:c>
      <x:c r="M46" s="19" t="str"/>
    </x:row>
    <x:row r="47">
      <x:c r="A47" s="20" t="str">
        <x:v>load_index</x:v>
      </x:c>
      <x:c r="B47" s="20" t="str">
        <x:v>136</x:v>
      </x:c>
      <x:c r="C47" s="19" t="n">
        <x:v>136</x:v>
      </x:c>
      <x:c r="D47" s="20" t="n">
        <x:v>136</x:v>
      </x:c>
      <x:c r="E47" s="20" t="str">
        <x:v>136</x:v>
      </x:c>
      <x:c r="F47" s="20" t="str"/>
      <x:c r="G47" s="20" t="n">
        <x:v>136</x:v>
      </x:c>
      <x:c r="H47" s="20" t="str">
        <x:v>136</x:v>
      </x:c>
      <x:c r="I47" s="20" t="n">
        <x:v>1</x:v>
      </x:c>
      <x:c r="J47" s="20" t="n">
        <x:v>1</x:v>
      </x:c>
      <x:c r="K47" s="31" t="b">
        <x:v>1</x:v>
      </x:c>
      <x:c r="L47" s="29" t="b">
        <x:v>1</x:v>
      </x:c>
      <x:c r="M47" s="19" t="str"/>
    </x:row>
    <x:row r="48">
      <x:c r="A48" s="18" t="str">
        <x:v>load_index</x:v>
      </x:c>
      <x:c r="B48" s="18" t="str">
        <x:v>140</x:v>
      </x:c>
      <x:c r="C48" s="19" t="n">
        <x:v>140</x:v>
      </x:c>
      <x:c r="D48" s="18" t="n">
        <x:v>140</x:v>
      </x:c>
      <x:c r="E48" s="18" t="str">
        <x:v>140</x:v>
      </x:c>
      <x:c r="F48" s="18" t="str"/>
      <x:c r="G48" s="18" t="n">
        <x:v>140</x:v>
      </x:c>
      <x:c r="H48" s="18" t="str">
        <x:v>140</x:v>
      </x:c>
      <x:c r="I48" s="18" t="n">
        <x:v>1</x:v>
      </x:c>
      <x:c r="J48" s="18" t="n">
        <x:v>1</x:v>
      </x:c>
      <x:c r="K48" s="28" t="b">
        <x:v>1</x:v>
      </x:c>
      <x:c r="L48" s="29" t="b">
        <x:v>1</x:v>
      </x:c>
      <x:c r="M48" s="19" t="str"/>
    </x:row>
    <x:row r="49">
      <x:c r="A49" s="20" t="str">
        <x:v>load_index</x:v>
      </x:c>
      <x:c r="B49" s="20" t="str">
        <x:v>143</x:v>
      </x:c>
      <x:c r="C49" s="19" t="n">
        <x:v>143</x:v>
      </x:c>
      <x:c r="D49" s="20" t="n">
        <x:v>143</x:v>
      </x:c>
      <x:c r="E49" s="20" t="str">
        <x:v>143</x:v>
      </x:c>
      <x:c r="F49" s="20" t="str"/>
      <x:c r="G49" s="20" t="n">
        <x:v>143</x:v>
      </x:c>
      <x:c r="H49" s="20" t="str">
        <x:v>143</x:v>
      </x:c>
      <x:c r="I49" s="20" t="n">
        <x:v>2</x:v>
      </x:c>
      <x:c r="J49" s="20" t="n">
        <x:v>1</x:v>
      </x:c>
      <x:c r="K49" s="31" t="b">
        <x:v>1</x:v>
      </x:c>
      <x:c r="L49" s="29" t="b">
        <x:v>1</x:v>
      </x:c>
      <x:c r="M49" s="19" t="str"/>
    </x:row>
    <x:row r="50">
      <x:c r="A50" s="18" t="str">
        <x:v>load_index</x:v>
      </x:c>
      <x:c r="B50" s="18" t="str">
        <x:v>150</x:v>
      </x:c>
      <x:c r="C50" s="19" t="n">
        <x:v>150</x:v>
      </x:c>
      <x:c r="D50" s="18" t="n">
        <x:v>150</x:v>
      </x:c>
      <x:c r="E50" s="18" t="str">
        <x:v>150</x:v>
      </x:c>
      <x:c r="F50" s="18" t="str"/>
      <x:c r="G50" s="18" t="n">
        <x:v>150</x:v>
      </x:c>
      <x:c r="H50" s="18" t="str">
        <x:v>150</x:v>
      </x:c>
      <x:c r="I50" s="18" t="n">
        <x:v>2</x:v>
      </x:c>
      <x:c r="J50" s="18" t="n">
        <x:v>2</x:v>
      </x:c>
      <x:c r="K50" s="28" t="b">
        <x:v>1</x:v>
      </x:c>
      <x:c r="L50" s="29" t="b">
        <x:v>1</x:v>
      </x:c>
      <x:c r="M50" s="19" t="str"/>
    </x:row>
    <x:row r="51">
      <x:c r="A51" s="20" t="str">
        <x:v>load_index</x:v>
      </x:c>
      <x:c r="B51" s="20" t="str">
        <x:v>152</x:v>
      </x:c>
      <x:c r="C51" s="19" t="n">
        <x:v>152</x:v>
      </x:c>
      <x:c r="D51" s="20" t="n">
        <x:v>152</x:v>
      </x:c>
      <x:c r="E51" s="20" t="str">
        <x:v>152</x:v>
      </x:c>
      <x:c r="F51" s="20" t="str"/>
      <x:c r="G51" s="20" t="n">
        <x:v>152</x:v>
      </x:c>
      <x:c r="H51" s="20" t="str">
        <x:v>152</x:v>
      </x:c>
      <x:c r="I51" s="20" t="n">
        <x:v>5</x:v>
      </x:c>
      <x:c r="J51" s="20" t="n">
        <x:v>5</x:v>
      </x:c>
      <x:c r="K51" s="31" t="b">
        <x:v>1</x:v>
      </x:c>
      <x:c r="L51" s="29" t="b">
        <x:v>1</x:v>
      </x:c>
      <x:c r="M51" s="19" t="str"/>
    </x:row>
    <x:row r="52">
      <x:c r="A52" s="18" t="str">
        <x:v>load_index</x:v>
      </x:c>
      <x:c r="B52" s="18" t="str">
        <x:v>154</x:v>
      </x:c>
      <x:c r="C52" s="19" t="n">
        <x:v>154</x:v>
      </x:c>
      <x:c r="D52" s="18" t="n">
        <x:v>154</x:v>
      </x:c>
      <x:c r="E52" s="18" t="str">
        <x:v>154</x:v>
      </x:c>
      <x:c r="F52" s="18" t="str"/>
      <x:c r="G52" s="18" t="n">
        <x:v>154</x:v>
      </x:c>
      <x:c r="H52" s="18" t="str">
        <x:v>154</x:v>
      </x:c>
      <x:c r="I52" s="18" t="n">
        <x:v>8</x:v>
      </x:c>
      <x:c r="J52" s="18" t="n">
        <x:v>7</x:v>
      </x:c>
      <x:c r="K52" s="28" t="b">
        <x:v>1</x:v>
      </x:c>
      <x:c r="L52" s="29" t="b">
        <x:v>1</x:v>
      </x:c>
      <x:c r="M52" s="19" t="str"/>
    </x:row>
    <x:row r="53">
      <x:c r="A53" s="20" t="str">
        <x:v>load_index</x:v>
      </x:c>
      <x:c r="B53" s="20" t="str">
        <x:v>156</x:v>
      </x:c>
      <x:c r="C53" s="19" t="n">
        <x:v>156</x:v>
      </x:c>
      <x:c r="D53" s="20" t="n">
        <x:v>156</x:v>
      </x:c>
      <x:c r="E53" s="20" t="str">
        <x:v>156</x:v>
      </x:c>
      <x:c r="F53" s="20" t="str"/>
      <x:c r="G53" s="20" t="n">
        <x:v>156</x:v>
      </x:c>
      <x:c r="H53" s="20" t="str">
        <x:v>156</x:v>
      </x:c>
      <x:c r="I53" s="20" t="n">
        <x:v>10</x:v>
      </x:c>
      <x:c r="J53" s="20" t="n">
        <x:v>9</x:v>
      </x:c>
      <x:c r="K53" s="31" t="b">
        <x:v>1</x:v>
      </x:c>
      <x:c r="L53" s="29" t="b">
        <x:v>1</x:v>
      </x:c>
      <x:c r="M53" s="19" t="str"/>
    </x:row>
    <x:row r="54">
      <x:c r="A54" s="18" t="str">
        <x:v>load_index</x:v>
      </x:c>
      <x:c r="B54" s="18" t="str">
        <x:v>158</x:v>
      </x:c>
      <x:c r="C54" s="19" t="n">
        <x:v>158</x:v>
      </x:c>
      <x:c r="D54" s="18" t="n">
        <x:v>158</x:v>
      </x:c>
      <x:c r="E54" s="18" t="str">
        <x:v>158</x:v>
      </x:c>
      <x:c r="F54" s="18" t="str"/>
      <x:c r="G54" s="18" t="n">
        <x:v>158</x:v>
      </x:c>
      <x:c r="H54" s="18" t="str">
        <x:v>158</x:v>
      </x:c>
      <x:c r="I54" s="18" t="n">
        <x:v>3</x:v>
      </x:c>
      <x:c r="J54" s="18" t="n">
        <x:v>3</x:v>
      </x:c>
      <x:c r="K54" s="28" t="b">
        <x:v>1</x:v>
      </x:c>
      <x:c r="L54" s="29" t="b">
        <x:v>1</x:v>
      </x:c>
      <x:c r="M54" s="19" t="str"/>
    </x:row>
    <x:row r="55">
      <x:c r="A55" s="20" t="str">
        <x:v>load_index</x:v>
      </x:c>
      <x:c r="B55" s="20" t="str">
        <x:v>160</x:v>
      </x:c>
      <x:c r="C55" s="19" t="n">
        <x:v>160</x:v>
      </x:c>
      <x:c r="D55" s="20" t="n">
        <x:v>160</x:v>
      </x:c>
      <x:c r="E55" s="20" t="str">
        <x:v>160</x:v>
      </x:c>
      <x:c r="F55" s="20" t="str"/>
      <x:c r="G55" s="20" t="n">
        <x:v>160</x:v>
      </x:c>
      <x:c r="H55" s="20" t="str">
        <x:v>160</x:v>
      </x:c>
      <x:c r="I55" s="20" t="n">
        <x:v>6</x:v>
      </x:c>
      <x:c r="J55" s="20" t="n">
        <x:v>6</x:v>
      </x:c>
      <x:c r="K55" s="31" t="b">
        <x:v>1</x:v>
      </x:c>
      <x:c r="L55" s="29" t="b">
        <x:v>1</x:v>
      </x:c>
      <x:c r="M55" s="19" t="str"/>
    </x:row>
    <x:row r="56">
      <x:c r="A56" s="18" t="str">
        <x:v>load_index</x:v>
      </x:c>
      <x:c r="B56" s="18" t="str">
        <x:v>162</x:v>
      </x:c>
      <x:c r="C56" s="19" t="n">
        <x:v>162</x:v>
      </x:c>
      <x:c r="D56" s="18" t="n">
        <x:v>162</x:v>
      </x:c>
      <x:c r="E56" s="18" t="str">
        <x:v>162</x:v>
      </x:c>
      <x:c r="F56" s="18" t="str"/>
      <x:c r="G56" s="18" t="n">
        <x:v>162</x:v>
      </x:c>
      <x:c r="H56" s="18" t="str">
        <x:v>162</x:v>
      </x:c>
      <x:c r="I56" s="18" t="n">
        <x:v>1</x:v>
      </x:c>
      <x:c r="J56" s="18" t="n">
        <x:v>1</x:v>
      </x:c>
      <x:c r="K56" s="28" t="b">
        <x:v>1</x:v>
      </x:c>
      <x:c r="L56" s="29" t="b">
        <x:v>1</x:v>
      </x:c>
      <x:c r="M56" s="19" t="str"/>
    </x:row>
    <x:row r="57">
      <x:c r="A57" s="20" t="str">
        <x:v>load_index</x:v>
      </x:c>
      <x:c r="B57" s="20" t="str">
        <x:v>164</x:v>
      </x:c>
      <x:c r="C57" s="19" t="n">
        <x:v>164</x:v>
      </x:c>
      <x:c r="D57" s="20" t="n">
        <x:v>164</x:v>
      </x:c>
      <x:c r="E57" s="20" t="str">
        <x:v>164</x:v>
      </x:c>
      <x:c r="F57" s="20" t="str"/>
      <x:c r="G57" s="20" t="n">
        <x:v>164</x:v>
      </x:c>
      <x:c r="H57" s="20" t="str">
        <x:v>164</x:v>
      </x:c>
      <x:c r="I57" s="20" t="n">
        <x:v>3</x:v>
      </x:c>
      <x:c r="J57" s="20" t="n">
        <x:v>3</x:v>
      </x:c>
      <x:c r="K57" s="31" t="b">
        <x:v>1</x:v>
      </x:c>
      <x:c r="L57" s="29" t="b">
        <x:v>1</x:v>
      </x:c>
      <x:c r="M57" s="19" t="str"/>
    </x:row>
    <x:row r="58">
      <x:c r="A58" s="18" t="str">
        <x:v>load_index</x:v>
      </x:c>
      <x:c r="B58" s="18" t="str">
        <x:v>165</x:v>
      </x:c>
      <x:c r="C58" s="19" t="n">
        <x:v>165</x:v>
      </x:c>
      <x:c r="D58" s="18" t="n">
        <x:v>165</x:v>
      </x:c>
      <x:c r="E58" s="18" t="str">
        <x:v>165</x:v>
      </x:c>
      <x:c r="F58" s="18" t="str"/>
      <x:c r="G58" s="18" t="n">
        <x:v>165</x:v>
      </x:c>
      <x:c r="H58" s="18" t="str">
        <x:v>165</x:v>
      </x:c>
      <x:c r="I58" s="18" t="n">
        <x:v>1</x:v>
      </x:c>
      <x:c r="J58" s="18" t="n">
        <x:v>1</x:v>
      </x:c>
      <x:c r="K58" s="28" t="b">
        <x:v>1</x:v>
      </x:c>
      <x:c r="L58" s="29" t="b">
        <x:v>1</x:v>
      </x:c>
      <x:c r="M58" s="19" t="str"/>
    </x:row>
    <x:row r="59">
      <x:c r="A59" s="20" t="str">
        <x:v>load_index</x:v>
      </x:c>
      <x:c r="B59" s="20" t="str">
        <x:v>169</x:v>
      </x:c>
      <x:c r="C59" s="19" t="n">
        <x:v>169</x:v>
      </x:c>
      <x:c r="D59" s="20" t="n">
        <x:v>169</x:v>
      </x:c>
      <x:c r="E59" s="20" t="str">
        <x:v>169</x:v>
      </x:c>
      <x:c r="F59" s="20" t="str"/>
      <x:c r="G59" s="20" t="n">
        <x:v>169</x:v>
      </x:c>
      <x:c r="H59" s="20" t="str">
        <x:v>169</x:v>
      </x:c>
      <x:c r="I59" s="20" t="n">
        <x:v>1</x:v>
      </x:c>
      <x:c r="J59" s="20" t="n">
        <x:v>1</x:v>
      </x:c>
      <x:c r="K59" s="31" t="b">
        <x:v>1</x:v>
      </x:c>
      <x:c r="L59" s="29" t="b">
        <x:v>1</x:v>
      </x:c>
      <x:c r="M59" s="19" t="str"/>
    </x:row>
    <x:row r="60">
      <x:c r="A60" s="18" t="str">
        <x:v>nominal_width</x:v>
      </x:c>
      <x:c r="B60" s="18" t="str">
        <x:v>215</x:v>
      </x:c>
      <x:c r="C60" s="19" t="n">
        <x:v>215</x:v>
      </x:c>
      <x:c r="D60" s="18" t="n">
        <x:v>215</x:v>
      </x:c>
      <x:c r="E60" s="18" t="str">
        <x:v>215</x:v>
      </x:c>
      <x:c r="F60" s="18" t="str">
        <x:v>mm</x:v>
      </x:c>
      <x:c r="G60" s="18" t="n">
        <x:v>215</x:v>
      </x:c>
      <x:c r="H60" s="18" t="str">
        <x:v>215</x:v>
      </x:c>
      <x:c r="I60" s="18" t="n">
        <x:v>2</x:v>
      </x:c>
      <x:c r="J60" s="18" t="n">
        <x:v>2</x:v>
      </x:c>
      <x:c r="K60" s="28" t="b">
        <x:v>1</x:v>
      </x:c>
      <x:c r="L60" s="29" t="b">
        <x:v>1</x:v>
      </x:c>
      <x:c r="M60" s="19" t="str"/>
    </x:row>
    <x:row r="61">
      <x:c r="A61" s="20" t="str">
        <x:v>nominal_width</x:v>
      </x:c>
      <x:c r="B61" s="20" t="str">
        <x:v>225</x:v>
      </x:c>
      <x:c r="C61" s="19" t="n">
        <x:v>225</x:v>
      </x:c>
      <x:c r="D61" s="20" t="n">
        <x:v>225</x:v>
      </x:c>
      <x:c r="E61" s="20" t="str">
        <x:v>225</x:v>
      </x:c>
      <x:c r="F61" s="20" t="str">
        <x:v>mm</x:v>
      </x:c>
      <x:c r="G61" s="20" t="n">
        <x:v>225</x:v>
      </x:c>
      <x:c r="H61" s="20" t="str">
        <x:v>225</x:v>
      </x:c>
      <x:c r="I61" s="20" t="n">
        <x:v>1</x:v>
      </x:c>
      <x:c r="J61" s="20" t="n">
        <x:v>1</x:v>
      </x:c>
      <x:c r="K61" s="31" t="b">
        <x:v>1</x:v>
      </x:c>
      <x:c r="L61" s="29" t="b">
        <x:v>1</x:v>
      </x:c>
      <x:c r="M61" s="19" t="str"/>
    </x:row>
    <x:row r="62">
      <x:c r="A62" s="18" t="str">
        <x:v>nominal_width</x:v>
      </x:c>
      <x:c r="B62" s="18" t="str">
        <x:v>235</x:v>
      </x:c>
      <x:c r="C62" s="19" t="n">
        <x:v>235</x:v>
      </x:c>
      <x:c r="D62" s="18" t="n">
        <x:v>235</x:v>
      </x:c>
      <x:c r="E62" s="18" t="str">
        <x:v>235</x:v>
      </x:c>
      <x:c r="F62" s="18" t="str">
        <x:v>mm</x:v>
      </x:c>
      <x:c r="G62" s="18" t="n">
        <x:v>235</x:v>
      </x:c>
      <x:c r="H62" s="18" t="str">
        <x:v>235</x:v>
      </x:c>
      <x:c r="I62" s="18" t="n">
        <x:v>2</x:v>
      </x:c>
      <x:c r="J62" s="18" t="n">
        <x:v>2</x:v>
      </x:c>
      <x:c r="K62" s="28" t="b">
        <x:v>1</x:v>
      </x:c>
      <x:c r="L62" s="29" t="b">
        <x:v>1</x:v>
      </x:c>
      <x:c r="M62" s="19" t="str"/>
    </x:row>
    <x:row r="63">
      <x:c r="A63" s="20" t="str">
        <x:v>nominal_width</x:v>
      </x:c>
      <x:c r="B63" s="20" t="str">
        <x:v>245</x:v>
      </x:c>
      <x:c r="C63" s="19" t="n">
        <x:v>245</x:v>
      </x:c>
      <x:c r="D63" s="20" t="n">
        <x:v>245</x:v>
      </x:c>
      <x:c r="E63" s="20" t="str">
        <x:v>245</x:v>
      </x:c>
      <x:c r="F63" s="20" t="str">
        <x:v>mm</x:v>
      </x:c>
      <x:c r="G63" s="20" t="n">
        <x:v>245</x:v>
      </x:c>
      <x:c r="H63" s="20" t="str">
        <x:v>245</x:v>
      </x:c>
      <x:c r="I63" s="20" t="n">
        <x:v>1</x:v>
      </x:c>
      <x:c r="J63" s="20" t="n">
        <x:v>1</x:v>
      </x:c>
      <x:c r="K63" s="31" t="b">
        <x:v>1</x:v>
      </x:c>
      <x:c r="L63" s="29" t="b">
        <x:v>1</x:v>
      </x:c>
      <x:c r="M63" s="19" t="str"/>
    </x:row>
    <x:row r="64">
      <x:c r="A64" s="18" t="str">
        <x:v>nominal_width</x:v>
      </x:c>
      <x:c r="B64" s="18" t="str">
        <x:v>265</x:v>
      </x:c>
      <x:c r="C64" s="19" t="n">
        <x:v>265</x:v>
      </x:c>
      <x:c r="D64" s="18" t="n">
        <x:v>265</x:v>
      </x:c>
      <x:c r="E64" s="18" t="str">
        <x:v>265</x:v>
      </x:c>
      <x:c r="F64" s="18" t="str">
        <x:v>mm</x:v>
      </x:c>
      <x:c r="G64" s="18" t="n">
        <x:v>265</x:v>
      </x:c>
      <x:c r="H64" s="18" t="str">
        <x:v>265</x:v>
      </x:c>
      <x:c r="I64" s="18" t="n">
        <x:v>2</x:v>
      </x:c>
      <x:c r="J64" s="18" t="n">
        <x:v>2</x:v>
      </x:c>
      <x:c r="K64" s="28" t="b">
        <x:v>1</x:v>
      </x:c>
      <x:c r="L64" s="29" t="b">
        <x:v>1</x:v>
      </x:c>
      <x:c r="M64" s="19" t="str"/>
    </x:row>
    <x:row r="65">
      <x:c r="A65" s="20" t="str">
        <x:v>nominal_width</x:v>
      </x:c>
      <x:c r="B65" s="20" t="str">
        <x:v>275</x:v>
      </x:c>
      <x:c r="C65" s="19" t="n">
        <x:v>275</x:v>
      </x:c>
      <x:c r="D65" s="20" t="n">
        <x:v>275</x:v>
      </x:c>
      <x:c r="E65" s="20" t="str">
        <x:v>275</x:v>
      </x:c>
      <x:c r="F65" s="20" t="str">
        <x:v>mm</x:v>
      </x:c>
      <x:c r="G65" s="20" t="n">
        <x:v>275</x:v>
      </x:c>
      <x:c r="H65" s="20" t="str">
        <x:v>275</x:v>
      </x:c>
      <x:c r="I65" s="20" t="n">
        <x:v>1</x:v>
      </x:c>
      <x:c r="J65" s="20" t="n">
        <x:v>1</x:v>
      </x:c>
      <x:c r="K65" s="31" t="b">
        <x:v>1</x:v>
      </x:c>
      <x:c r="L65" s="29" t="b">
        <x:v>1</x:v>
      </x:c>
      <x:c r="M65" s="19" t="str"/>
    </x:row>
    <x:row r="66">
      <x:c r="A66" s="18" t="str">
        <x:v>nominal_width</x:v>
      </x:c>
      <x:c r="B66" s="18" t="str">
        <x:v>285</x:v>
      </x:c>
      <x:c r="C66" s="19" t="n">
        <x:v>285</x:v>
      </x:c>
      <x:c r="D66" s="18" t="n">
        <x:v>285</x:v>
      </x:c>
      <x:c r="E66" s="18" t="str">
        <x:v>285</x:v>
      </x:c>
      <x:c r="F66" s="18" t="str">
        <x:v>mm</x:v>
      </x:c>
      <x:c r="G66" s="18" t="n">
        <x:v>285</x:v>
      </x:c>
      <x:c r="H66" s="18" t="str">
        <x:v>285</x:v>
      </x:c>
      <x:c r="I66" s="18" t="n">
        <x:v>1</x:v>
      </x:c>
      <x:c r="J66" s="18" t="n">
        <x:v>1</x:v>
      </x:c>
      <x:c r="K66" s="28" t="b">
        <x:v>1</x:v>
      </x:c>
      <x:c r="L66" s="29" t="b">
        <x:v>1</x:v>
      </x:c>
      <x:c r="M66" s="19" t="str"/>
    </x:row>
    <x:row r="67">
      <x:c r="A67" s="20" t="str">
        <x:v>nominal_width</x:v>
      </x:c>
      <x:c r="B67" s="20" t="str">
        <x:v>295</x:v>
      </x:c>
      <x:c r="C67" s="19" t="n">
        <x:v>295</x:v>
      </x:c>
      <x:c r="D67" s="20" t="n">
        <x:v>295</x:v>
      </x:c>
      <x:c r="E67" s="20" t="str">
        <x:v>295</x:v>
      </x:c>
      <x:c r="F67" s="20" t="str">
        <x:v>mm</x:v>
      </x:c>
      <x:c r="G67" s="20" t="n">
        <x:v>295</x:v>
      </x:c>
      <x:c r="H67" s="20" t="str">
        <x:v>295</x:v>
      </x:c>
      <x:c r="I67" s="20" t="n">
        <x:v>5</x:v>
      </x:c>
      <x:c r="J67" s="20" t="n">
        <x:v>5</x:v>
      </x:c>
      <x:c r="K67" s="31" t="b">
        <x:v>1</x:v>
      </x:c>
      <x:c r="L67" s="29" t="b">
        <x:v>1</x:v>
      </x:c>
      <x:c r="M67" s="19" t="str"/>
    </x:row>
    <x:row r="68">
      <x:c r="A68" s="18" t="str">
        <x:v>nominal_width</x:v>
      </x:c>
      <x:c r="B68" s="18" t="str">
        <x:v>315</x:v>
      </x:c>
      <x:c r="C68" s="19" t="n">
        <x:v>315</x:v>
      </x:c>
      <x:c r="D68" s="18" t="n">
        <x:v>315</x:v>
      </x:c>
      <x:c r="E68" s="18" t="str">
        <x:v>315</x:v>
      </x:c>
      <x:c r="F68" s="18" t="str">
        <x:v>mm</x:v>
      </x:c>
      <x:c r="G68" s="18" t="n">
        <x:v>315</x:v>
      </x:c>
      <x:c r="H68" s="18" t="str">
        <x:v>315</x:v>
      </x:c>
      <x:c r="I68" s="18" t="n">
        <x:v>14</x:v>
      </x:c>
      <x:c r="J68" s="18" t="n">
        <x:v>7</x:v>
      </x:c>
      <x:c r="K68" s="28" t="b">
        <x:v>1</x:v>
      </x:c>
      <x:c r="L68" s="29" t="b">
        <x:v>1</x:v>
      </x:c>
      <x:c r="M68" s="19" t="str"/>
    </x:row>
    <x:row r="69">
      <x:c r="A69" s="20" t="str">
        <x:v>nominal_width</x:v>
      </x:c>
      <x:c r="B69" s="20" t="str">
        <x:v>325</x:v>
      </x:c>
      <x:c r="C69" s="19" t="n">
        <x:v>325</x:v>
      </x:c>
      <x:c r="D69" s="20" t="n">
        <x:v>325</x:v>
      </x:c>
      <x:c r="E69" s="20" t="str">
        <x:v>325</x:v>
      </x:c>
      <x:c r="F69" s="20" t="str">
        <x:v>mm</x:v>
      </x:c>
      <x:c r="G69" s="20" t="n">
        <x:v>325</x:v>
      </x:c>
      <x:c r="H69" s="20" t="str">
        <x:v>325</x:v>
      </x:c>
      <x:c r="I69" s="20" t="n">
        <x:v>1</x:v>
      </x:c>
      <x:c r="J69" s="20" t="n">
        <x:v>1</x:v>
      </x:c>
      <x:c r="K69" s="31" t="b">
        <x:v>1</x:v>
      </x:c>
      <x:c r="L69" s="29" t="b">
        <x:v>1</x:v>
      </x:c>
      <x:c r="M69" s="19" t="str"/>
    </x:row>
    <x:row r="70">
      <x:c r="A70" s="18" t="str">
        <x:v>nominal_width</x:v>
      </x:c>
      <x:c r="B70" s="18" t="str">
        <x:v>385</x:v>
      </x:c>
      <x:c r="C70" s="19" t="n">
        <x:v>385</x:v>
      </x:c>
      <x:c r="D70" s="18" t="n">
        <x:v>385</x:v>
      </x:c>
      <x:c r="E70" s="18" t="str">
        <x:v>385</x:v>
      </x:c>
      <x:c r="F70" s="18" t="str">
        <x:v>mm</x:v>
      </x:c>
      <x:c r="G70" s="18" t="n">
        <x:v>385</x:v>
      </x:c>
      <x:c r="H70" s="18" t="str">
        <x:v>385</x:v>
      </x:c>
      <x:c r="I70" s="18" t="n">
        <x:v>6</x:v>
      </x:c>
      <x:c r="J70" s="18" t="n">
        <x:v>4</x:v>
      </x:c>
      <x:c r="K70" s="28" t="b">
        <x:v>1</x:v>
      </x:c>
      <x:c r="L70" s="29" t="b">
        <x:v>1</x:v>
      </x:c>
      <x:c r="M70" s="19" t="str"/>
    </x:row>
    <x:row r="71">
      <x:c r="A71" s="20" t="str">
        <x:v>nominal_width</x:v>
      </x:c>
      <x:c r="B71" s="20" t="str">
        <x:v>425</x:v>
      </x:c>
      <x:c r="C71" s="19" t="n">
        <x:v>425</x:v>
      </x:c>
      <x:c r="D71" s="20" t="n">
        <x:v>425</x:v>
      </x:c>
      <x:c r="E71" s="20" t="str">
        <x:v>425</x:v>
      </x:c>
      <x:c r="F71" s="20" t="str">
        <x:v>mm</x:v>
      </x:c>
      <x:c r="G71" s="20" t="n">
        <x:v>425</x:v>
      </x:c>
      <x:c r="H71" s="20" t="str">
        <x:v>425</x:v>
      </x:c>
      <x:c r="I71" s="20" t="n">
        <x:v>1</x:v>
      </x:c>
      <x:c r="J71" s="20" t="n">
        <x:v>1</x:v>
      </x:c>
      <x:c r="K71" s="31" t="b">
        <x:v>1</x:v>
      </x:c>
      <x:c r="L71" s="29" t="b">
        <x:v>1</x:v>
      </x:c>
      <x:c r="M71" s="19" t="str"/>
    </x:row>
    <x:row r="72">
      <x:c r="A72" s="18" t="str">
        <x:v>nominal_width</x:v>
      </x:c>
      <x:c r="B72" s="18" t="str">
        <x:v>435</x:v>
      </x:c>
      <x:c r="C72" s="19" t="n">
        <x:v>435</x:v>
      </x:c>
      <x:c r="D72" s="18" t="n">
        <x:v>435</x:v>
      </x:c>
      <x:c r="E72" s="18" t="str">
        <x:v>435</x:v>
      </x:c>
      <x:c r="F72" s="18" t="str">
        <x:v>mm</x:v>
      </x:c>
      <x:c r="G72" s="18" t="n">
        <x:v>435</x:v>
      </x:c>
      <x:c r="H72" s="18" t="str">
        <x:v>435</x:v>
      </x:c>
      <x:c r="I72" s="18" t="n">
        <x:v>1</x:v>
      </x:c>
      <x:c r="J72" s="18" t="n">
        <x:v>1</x:v>
      </x:c>
      <x:c r="K72" s="28" t="b">
        <x:v>1</x:v>
      </x:c>
      <x:c r="L72" s="29" t="b">
        <x:v>1</x:v>
      </x:c>
      <x:c r="M72" s="19" t="str"/>
    </x:row>
    <x:row r="73">
      <x:c r="A73" s="20" t="str">
        <x:v>nominal_width</x:v>
      </x:c>
      <x:c r="B73" s="20" t="str">
        <x:v>445</x:v>
      </x:c>
      <x:c r="C73" s="19" t="n">
        <x:v>445</x:v>
      </x:c>
      <x:c r="D73" s="20" t="n">
        <x:v>445</x:v>
      </x:c>
      <x:c r="E73" s="20" t="str">
        <x:v>445</x:v>
      </x:c>
      <x:c r="F73" s="20" t="str">
        <x:v>mm</x:v>
      </x:c>
      <x:c r="G73" s="20" t="n">
        <x:v>445</x:v>
      </x:c>
      <x:c r="H73" s="20" t="str">
        <x:v>445</x:v>
      </x:c>
      <x:c r="I73" s="20" t="n">
        <x:v>2</x:v>
      </x:c>
      <x:c r="J73" s="20" t="n">
        <x:v>2</x:v>
      </x:c>
      <x:c r="K73" s="31" t="b">
        <x:v>1</x:v>
      </x:c>
      <x:c r="L73" s="29" t="b">
        <x:v>1</x:v>
      </x:c>
      <x:c r="M73" s="19" t="str"/>
    </x:row>
    <x:row r="74">
      <x:c r="A74" s="18" t="str">
        <x:v>overall_diameter</x:v>
      </x:c>
      <x:c r="B74" s="18" t="str">
        <x:v>767</x:v>
      </x:c>
      <x:c r="C74" s="19" t="n">
        <x:v>767</x:v>
      </x:c>
      <x:c r="D74" s="18" t="n">
        <x:v>767</x:v>
      </x:c>
      <x:c r="E74" s="18" t="str">
        <x:v>767</x:v>
      </x:c>
      <x:c r="F74" s="18" t="str">
        <x:v>mm</x:v>
      </x:c>
      <x:c r="G74" s="18" t="n">
        <x:v>767</x:v>
      </x:c>
      <x:c r="H74" s="18" t="str">
        <x:v>767</x:v>
      </x:c>
      <x:c r="I74" s="18" t="n">
        <x:v>2</x:v>
      </x:c>
      <x:c r="J74" s="18" t="n">
        <x:v>2</x:v>
      </x:c>
      <x:c r="K74" s="28" t="b">
        <x:v>1</x:v>
      </x:c>
      <x:c r="L74" s="29" t="b">
        <x:v>1</x:v>
      </x:c>
      <x:c r="M74" s="19" t="str"/>
    </x:row>
    <x:row r="75">
      <x:c r="A75" s="20" t="str">
        <x:v>overall_diameter</x:v>
      </x:c>
      <x:c r="B75" s="20" t="str">
        <x:v>783</x:v>
      </x:c>
      <x:c r="C75" s="19" t="n">
        <x:v>783</x:v>
      </x:c>
      <x:c r="D75" s="20" t="n">
        <x:v>783</x:v>
      </x:c>
      <x:c r="E75" s="20" t="str">
        <x:v>783</x:v>
      </x:c>
      <x:c r="F75" s="20" t="str">
        <x:v>mm</x:v>
      </x:c>
      <x:c r="G75" s="20" t="n">
        <x:v>783</x:v>
      </x:c>
      <x:c r="H75" s="20" t="str">
        <x:v>783</x:v>
      </x:c>
      <x:c r="I75" s="20" t="n">
        <x:v>1</x:v>
      </x:c>
      <x:c r="J75" s="20" t="n">
        <x:v>1</x:v>
      </x:c>
      <x:c r="K75" s="31" t="b">
        <x:v>1</x:v>
      </x:c>
      <x:c r="L75" s="29" t="b">
        <x:v>1</x:v>
      </x:c>
      <x:c r="M75" s="19" t="str"/>
    </x:row>
    <x:row r="76">
      <x:c r="A76" s="18" t="str">
        <x:v>overall_diameter</x:v>
      </x:c>
      <x:c r="B76" s="18" t="str">
        <x:v>797</x:v>
      </x:c>
      <x:c r="C76" s="19" t="n">
        <x:v>797</x:v>
      </x:c>
      <x:c r="D76" s="18" t="n">
        <x:v>797</x:v>
      </x:c>
      <x:c r="E76" s="18" t="str">
        <x:v>797</x:v>
      </x:c>
      <x:c r="F76" s="18" t="str">
        <x:v>mm</x:v>
      </x:c>
      <x:c r="G76" s="18" t="n">
        <x:v>797</x:v>
      </x:c>
      <x:c r="H76" s="18" t="str">
        <x:v>797</x:v>
      </x:c>
      <x:c r="I76" s="18" t="n">
        <x:v>2</x:v>
      </x:c>
      <x:c r="J76" s="18" t="n">
        <x:v>2</x:v>
      </x:c>
      <x:c r="K76" s="28" t="b">
        <x:v>1</x:v>
      </x:c>
      <x:c r="L76" s="29" t="b">
        <x:v>1</x:v>
      </x:c>
      <x:c r="M76" s="19" t="str"/>
    </x:row>
    <x:row r="77">
      <x:c r="A77" s="20" t="str">
        <x:v>overall_diameter</x:v>
      </x:c>
      <x:c r="B77" s="20" t="str">
        <x:v>839</x:v>
      </x:c>
      <x:c r="C77" s="19" t="n">
        <x:v>839</x:v>
      </x:c>
      <x:c r="D77" s="20" t="n">
        <x:v>839</x:v>
      </x:c>
      <x:c r="E77" s="20" t="str">
        <x:v>839</x:v>
      </x:c>
      <x:c r="F77" s="20" t="str">
        <x:v>mm</x:v>
      </x:c>
      <x:c r="G77" s="20" t="n">
        <x:v>839</x:v>
      </x:c>
      <x:c r="H77" s="20" t="str">
        <x:v>839</x:v>
      </x:c>
      <x:c r="I77" s="20" t="n">
        <x:v>1</x:v>
      </x:c>
      <x:c r="J77" s="20" t="n">
        <x:v>1</x:v>
      </x:c>
      <x:c r="K77" s="31" t="b">
        <x:v>1</x:v>
      </x:c>
      <x:c r="L77" s="29" t="b">
        <x:v>1</x:v>
      </x:c>
      <x:c r="M77" s="19" t="str"/>
    </x:row>
    <x:row r="78">
      <x:c r="A78" s="18" t="str">
        <x:v>overall_diameter</x:v>
      </x:c>
      <x:c r="B78" s="18" t="str">
        <x:v>867</x:v>
      </x:c>
      <x:c r="C78" s="19" t="n">
        <x:v>867</x:v>
      </x:c>
      <x:c r="D78" s="18" t="n">
        <x:v>867</x:v>
      </x:c>
      <x:c r="E78" s="18" t="str">
        <x:v>867</x:v>
      </x:c>
      <x:c r="F78" s="18" t="str">
        <x:v>mm</x:v>
      </x:c>
      <x:c r="G78" s="18" t="n">
        <x:v>867</x:v>
      </x:c>
      <x:c r="H78" s="18" t="str">
        <x:v>867</x:v>
      </x:c>
      <x:c r="I78" s="18" t="n">
        <x:v>2</x:v>
      </x:c>
      <x:c r="J78" s="18" t="n">
        <x:v>2</x:v>
      </x:c>
      <x:c r="K78" s="28" t="b">
        <x:v>1</x:v>
      </x:c>
      <x:c r="L78" s="29" t="b">
        <x:v>1</x:v>
      </x:c>
      <x:c r="M78" s="19" t="str"/>
    </x:row>
    <x:row r="79">
      <x:c r="A79" s="20" t="str">
        <x:v>overall_diameter</x:v>
      </x:c>
      <x:c r="B79" s="20" t="str">
        <x:v>895</x:v>
      </x:c>
      <x:c r="C79" s="19" t="n">
        <x:v>895</x:v>
      </x:c>
      <x:c r="D79" s="20" t="n">
        <x:v>895</x:v>
      </x:c>
      <x:c r="E79" s="20" t="str">
        <x:v>895</x:v>
      </x:c>
      <x:c r="F79" s="20" t="str">
        <x:v>mm</x:v>
      </x:c>
      <x:c r="G79" s="20" t="n">
        <x:v>895</x:v>
      </x:c>
      <x:c r="H79" s="20" t="str">
        <x:v>895</x:v>
      </x:c>
      <x:c r="I79" s="20" t="n">
        <x:v>2</x:v>
      </x:c>
      <x:c r="J79" s="20" t="n">
        <x:v>2</x:v>
      </x:c>
      <x:c r="K79" s="31" t="b">
        <x:v>1</x:v>
      </x:c>
      <x:c r="L79" s="29" t="b">
        <x:v>1</x:v>
      </x:c>
      <x:c r="M79" s="19" t="str"/>
    </x:row>
    <x:row r="80">
      <x:c r="A80" s="18" t="str">
        <x:v>overall_diameter</x:v>
      </x:c>
      <x:c r="B80" s="18" t="str">
        <x:v>926</x:v>
      </x:c>
      <x:c r="C80" s="19" t="n">
        <x:v>926</x:v>
      </x:c>
      <x:c r="D80" s="18" t="n">
        <x:v>926</x:v>
      </x:c>
      <x:c r="E80" s="18" t="str">
        <x:v>926</x:v>
      </x:c>
      <x:c r="F80" s="18" t="str">
        <x:v>mm</x:v>
      </x:c>
      <x:c r="G80" s="18" t="n">
        <x:v>926</x:v>
      </x:c>
      <x:c r="H80" s="18" t="str">
        <x:v>926</x:v>
      </x:c>
      <x:c r="I80" s="18" t="n">
        <x:v>1</x:v>
      </x:c>
      <x:c r="J80" s="18" t="n">
        <x:v>1</x:v>
      </x:c>
      <x:c r="K80" s="28" t="b">
        <x:v>1</x:v>
      </x:c>
      <x:c r="L80" s="29" t="b">
        <x:v>1</x:v>
      </x:c>
      <x:c r="M80" s="19" t="str"/>
    </x:row>
    <x:row r="81">
      <x:c r="A81" s="20" t="str">
        <x:v>overall_diameter</x:v>
      </x:c>
      <x:c r="B81" s="20" t="str">
        <x:v>931</x:v>
      </x:c>
      <x:c r="C81" s="19" t="n">
        <x:v>931</x:v>
      </x:c>
      <x:c r="D81" s="20" t="n">
        <x:v>931</x:v>
      </x:c>
      <x:c r="E81" s="20" t="str">
        <x:v>931</x:v>
      </x:c>
      <x:c r="F81" s="20" t="str">
        <x:v>mm</x:v>
      </x:c>
      <x:c r="G81" s="20" t="n">
        <x:v>931</x:v>
      </x:c>
      <x:c r="H81" s="20" t="str">
        <x:v>931</x:v>
      </x:c>
      <x:c r="I81" s="20" t="n">
        <x:v>1</x:v>
      </x:c>
      <x:c r="J81" s="20" t="n">
        <x:v>1</x:v>
      </x:c>
      <x:c r="K81" s="31" t="b">
        <x:v>1</x:v>
      </x:c>
      <x:c r="L81" s="29" t="b">
        <x:v>1</x:v>
      </x:c>
      <x:c r="M81" s="19" t="str"/>
    </x:row>
    <x:row r="82">
      <x:c r="A82" s="18" t="str">
        <x:v>overall_diameter</x:v>
      </x:c>
      <x:c r="B82" s="18" t="str">
        <x:v>950</x:v>
      </x:c>
      <x:c r="C82" s="19" t="n">
        <x:v>950</x:v>
      </x:c>
      <x:c r="D82" s="18" t="n">
        <x:v>950</x:v>
      </x:c>
      <x:c r="E82" s="18" t="str">
        <x:v>950</x:v>
      </x:c>
      <x:c r="F82" s="18" t="str">
        <x:v>mm</x:v>
      </x:c>
      <x:c r="G82" s="18" t="n">
        <x:v>950</x:v>
      </x:c>
      <x:c r="H82" s="18" t="str">
        <x:v>950</x:v>
      </x:c>
      <x:c r="I82" s="18" t="n">
        <x:v>2</x:v>
      </x:c>
      <x:c r="J82" s="18" t="n">
        <x:v>2</x:v>
      </x:c>
      <x:c r="K82" s="28" t="b">
        <x:v>1</x:v>
      </x:c>
      <x:c r="L82" s="29" t="b">
        <x:v>1</x:v>
      </x:c>
      <x:c r="M82" s="19" t="str"/>
    </x:row>
    <x:row r="83">
      <x:c r="A83" s="20" t="str">
        <x:v>overall_diameter</x:v>
      </x:c>
      <x:c r="B83" s="20" t="str">
        <x:v>958</x:v>
      </x:c>
      <x:c r="C83" s="19" t="n">
        <x:v>958</x:v>
      </x:c>
      <x:c r="D83" s="20" t="n">
        <x:v>958</x:v>
      </x:c>
      <x:c r="E83" s="20" t="str">
        <x:v>958</x:v>
      </x:c>
      <x:c r="F83" s="20" t="str">
        <x:v>mm</x:v>
      </x:c>
      <x:c r="G83" s="20" t="n">
        <x:v>958</x:v>
      </x:c>
      <x:c r="H83" s="20" t="str">
        <x:v>958</x:v>
      </x:c>
      <x:c r="I83" s="20" t="n">
        <x:v>1</x:v>
      </x:c>
      <x:c r="J83" s="20" t="n">
        <x:v>1</x:v>
      </x:c>
      <x:c r="K83" s="31" t="b">
        <x:v>1</x:v>
      </x:c>
      <x:c r="L83" s="29" t="b">
        <x:v>1</x:v>
      </x:c>
      <x:c r="M83" s="19" t="str"/>
    </x:row>
    <x:row r="84">
      <x:c r="A84" s="18" t="str">
        <x:v>overall_diameter</x:v>
      </x:c>
      <x:c r="B84" s="18" t="str">
        <x:v>996</x:v>
      </x:c>
      <x:c r="C84" s="19" t="n">
        <x:v>996</x:v>
      </x:c>
      <x:c r="D84" s="18" t="n">
        <x:v>996</x:v>
      </x:c>
      <x:c r="E84" s="18" t="str">
        <x:v>996</x:v>
      </x:c>
      <x:c r="F84" s="18" t="str">
        <x:v>mm</x:v>
      </x:c>
      <x:c r="G84" s="18" t="n">
        <x:v>996</x:v>
      </x:c>
      <x:c r="H84" s="18" t="str">
        <x:v>996</x:v>
      </x:c>
      <x:c r="I84" s="18" t="n">
        <x:v>2</x:v>
      </x:c>
      <x:c r="J84" s="18" t="n">
        <x:v>2</x:v>
      </x:c>
      <x:c r="K84" s="28" t="b">
        <x:v>1</x:v>
      </x:c>
      <x:c r="L84" s="29" t="b">
        <x:v>1</x:v>
      </x:c>
      <x:c r="M84" s="19" t="str"/>
    </x:row>
    <x:row r="85">
      <x:c r="A85" s="20" t="str">
        <x:v>overall_diameter</x:v>
      </x:c>
      <x:c r="B85" s="20" t="str">
        <x:v>1014</x:v>
      </x:c>
      <x:c r="C85" s="19" t="n">
        <x:v>1014</x:v>
      </x:c>
      <x:c r="D85" s="20" t="n">
        <x:v>1014</x:v>
      </x:c>
      <x:c r="E85" s="20" t="str">
        <x:v>1014</x:v>
      </x:c>
      <x:c r="F85" s="20" t="str">
        <x:v>mm</x:v>
      </x:c>
      <x:c r="G85" s="20" t="n">
        <x:v>1014</x:v>
      </x:c>
      <x:c r="H85" s="20" t="str">
        <x:v>1014</x:v>
      </x:c>
      <x:c r="I85" s="20" t="n">
        <x:v>4</x:v>
      </x:c>
      <x:c r="J85" s="20" t="n">
        <x:v>4</x:v>
      </x:c>
      <x:c r="K85" s="31" t="b">
        <x:v>1</x:v>
      </x:c>
      <x:c r="L85" s="29" t="b">
        <x:v>1</x:v>
      </x:c>
      <x:c r="M85" s="19" t="str"/>
    </x:row>
    <x:row r="86">
      <x:c r="A86" s="18" t="str">
        <x:v>overall_diameter</x:v>
      </x:c>
      <x:c r="B86" s="18" t="str">
        <x:v>1020</x:v>
      </x:c>
      <x:c r="C86" s="19" t="n">
        <x:v>1020</x:v>
      </x:c>
      <x:c r="D86" s="18" t="n">
        <x:v>1020</x:v>
      </x:c>
      <x:c r="E86" s="18" t="str">
        <x:v>1020</x:v>
      </x:c>
      <x:c r="F86" s="18" t="str">
        <x:v>mm</x:v>
      </x:c>
      <x:c r="G86" s="18" t="n">
        <x:v>1020</x:v>
      </x:c>
      <x:c r="H86" s="18" t="str">
        <x:v>1020</x:v>
      </x:c>
      <x:c r="I86" s="18" t="n">
        <x:v>1</x:v>
      </x:c>
      <x:c r="J86" s="18" t="n">
        <x:v>1</x:v>
      </x:c>
      <x:c r="K86" s="28" t="b">
        <x:v>1</x:v>
      </x:c>
      <x:c r="L86" s="29" t="b">
        <x:v>1</x:v>
      </x:c>
      <x:c r="M86" s="19" t="str"/>
    </x:row>
    <x:row r="87">
      <x:c r="A87" s="20" t="str">
        <x:v>overall_diameter</x:v>
      </x:c>
      <x:c r="B87" s="20" t="str">
        <x:v>1044</x:v>
      </x:c>
      <x:c r="C87" s="19" t="n">
        <x:v>1044</x:v>
      </x:c>
      <x:c r="D87" s="20" t="n">
        <x:v>1044</x:v>
      </x:c>
      <x:c r="E87" s="20" t="str">
        <x:v>1044</x:v>
      </x:c>
      <x:c r="F87" s="20" t="str">
        <x:v>mm</x:v>
      </x:c>
      <x:c r="G87" s="20" t="n">
        <x:v>1044</x:v>
      </x:c>
      <x:c r="H87" s="20" t="str">
        <x:v>1044</x:v>
      </x:c>
      <x:c r="I87" s="20" t="n">
        <x:v>4</x:v>
      </x:c>
      <x:c r="J87" s="20" t="n">
        <x:v>4</x:v>
      </x:c>
      <x:c r="K87" s="31" t="b">
        <x:v>1</x:v>
      </x:c>
      <x:c r="L87" s="29" t="b">
        <x:v>1</x:v>
      </x:c>
      <x:c r="M87" s="19" t="str"/>
    </x:row>
    <x:row r="88">
      <x:c r="A88" s="18" t="str">
        <x:v>overall_diameter</x:v>
      </x:c>
      <x:c r="B88" s="18" t="str">
        <x:v>1072</x:v>
      </x:c>
      <x:c r="C88" s="19" t="n">
        <x:v>1072</x:v>
      </x:c>
      <x:c r="D88" s="18" t="n">
        <x:v>1072</x:v>
      </x:c>
      <x:c r="E88" s="18" t="str">
        <x:v>1072</x:v>
      </x:c>
      <x:c r="F88" s="18" t="str">
        <x:v>mm</x:v>
      </x:c>
      <x:c r="G88" s="18" t="n">
        <x:v>1072</x:v>
      </x:c>
      <x:c r="H88" s="18" t="str">
        <x:v>1072</x:v>
      </x:c>
      <x:c r="I88" s="18" t="n">
        <x:v>4</x:v>
      </x:c>
      <x:c r="J88" s="18" t="n">
        <x:v>4</x:v>
      </x:c>
      <x:c r="K88" s="28" t="b">
        <x:v>1</x:v>
      </x:c>
      <x:c r="L88" s="29" t="b">
        <x:v>1</x:v>
      </x:c>
      <x:c r="M88" s="19" t="str"/>
    </x:row>
    <x:row r="89">
      <x:c r="A89" s="20" t="str">
        <x:v>overall_diameter</x:v>
      </x:c>
      <x:c r="B89" s="20" t="str">
        <x:v>1076</x:v>
      </x:c>
      <x:c r="C89" s="19" t="n">
        <x:v>1076</x:v>
      </x:c>
      <x:c r="D89" s="20" t="n">
        <x:v>1076</x:v>
      </x:c>
      <x:c r="E89" s="20" t="str">
        <x:v>1076</x:v>
      </x:c>
      <x:c r="F89" s="20" t="str">
        <x:v>mm</x:v>
      </x:c>
      <x:c r="G89" s="20" t="n">
        <x:v>1076</x:v>
      </x:c>
      <x:c r="H89" s="20" t="str">
        <x:v>1076</x:v>
      </x:c>
      <x:c r="I89" s="20" t="n">
        <x:v>7</x:v>
      </x:c>
      <x:c r="J89" s="20" t="n">
        <x:v>7</x:v>
      </x:c>
      <x:c r="K89" s="31" t="b">
        <x:v>1</x:v>
      </x:c>
      <x:c r="L89" s="29" t="b">
        <x:v>1</x:v>
      </x:c>
      <x:c r="M89" s="19" t="str"/>
    </x:row>
    <x:row r="90">
      <x:c r="A90" s="18" t="str">
        <x:v>overall_diameter</x:v>
      </x:c>
      <x:c r="B90" s="18" t="str">
        <x:v>1124</x:v>
      </x:c>
      <x:c r="C90" s="19" t="n">
        <x:v>1124</x:v>
      </x:c>
      <x:c r="D90" s="18" t="n">
        <x:v>1124</x:v>
      </x:c>
      <x:c r="E90" s="18" t="str">
        <x:v>1124</x:v>
      </x:c>
      <x:c r="F90" s="18" t="str">
        <x:v>mm</x:v>
      </x:c>
      <x:c r="G90" s="18" t="n">
        <x:v>1124</x:v>
      </x:c>
      <x:c r="H90" s="18" t="str">
        <x:v>1124</x:v>
      </x:c>
      <x:c r="I90" s="18" t="n">
        <x:v>3</x:v>
      </x:c>
      <x:c r="J90" s="18" t="n">
        <x:v>3</x:v>
      </x:c>
      <x:c r="K90" s="28" t="b">
        <x:v>1</x:v>
      </x:c>
      <x:c r="L90" s="29" t="b">
        <x:v>1</x:v>
      </x:c>
      <x:c r="M90" s="19" t="str"/>
    </x:row>
    <x:row r="91">
      <x:c r="A91" s="20" t="str">
        <x:v>overall_diameter</x:v>
      </x:c>
      <x:c r="B91" s="20" t="str">
        <x:v>1125</x:v>
      </x:c>
      <x:c r="C91" s="19" t="n">
        <x:v>1125</x:v>
      </x:c>
      <x:c r="D91" s="20" t="n">
        <x:v>1125</x:v>
      </x:c>
      <x:c r="E91" s="20" t="str">
        <x:v>1125</x:v>
      </x:c>
      <x:c r="F91" s="20" t="str">
        <x:v>mm</x:v>
      </x:c>
      <x:c r="G91" s="20" t="n">
        <x:v>1125</x:v>
      </x:c>
      <x:c r="H91" s="20" t="str">
        <x:v>1125</x:v>
      </x:c>
      <x:c r="I91" s="20" t="n">
        <x:v>5</x:v>
      </x:c>
      <x:c r="J91" s="20" t="n">
        <x:v>4</x:v>
      </x:c>
      <x:c r="K91" s="31" t="b">
        <x:v>1</x:v>
      </x:c>
      <x:c r="L91" s="29" t="b">
        <x:v>1</x:v>
      </x:c>
      <x:c r="M91" s="19" t="str"/>
    </x:row>
    <x:row r="92">
      <x:c r="A92" s="18" t="str">
        <x:v>overall_diameter</x:v>
      </x:c>
      <x:c r="B92" s="18" t="str">
        <x:v>1150</x:v>
      </x:c>
      <x:c r="C92" s="19" t="n">
        <x:v>1150</x:v>
      </x:c>
      <x:c r="D92" s="18" t="n">
        <x:v>1150</x:v>
      </x:c>
      <x:c r="E92" s="18" t="str">
        <x:v>1150</x:v>
      </x:c>
      <x:c r="F92" s="18" t="str">
        <x:v>mm</x:v>
      </x:c>
      <x:c r="G92" s="18" t="n">
        <x:v>1150</x:v>
      </x:c>
      <x:c r="H92" s="18" t="str">
        <x:v>1150</x:v>
      </x:c>
      <x:c r="I92" s="18" t="n">
        <x:v>1</x:v>
      </x:c>
      <x:c r="J92" s="18" t="n">
        <x:v>1</x:v>
      </x:c>
      <x:c r="K92" s="28" t="b">
        <x:v>1</x:v>
      </x:c>
      <x:c r="L92" s="29" t="b">
        <x:v>1</x:v>
      </x:c>
      <x:c r="M92" s="19" t="str"/>
    </x:row>
    <x:row r="93">
      <x:c r="A93" s="20" t="str">
        <x:v>overall_diameter</x:v>
      </x:c>
      <x:c r="B93" s="20" t="str">
        <x:v>1226</x:v>
      </x:c>
      <x:c r="C93" s="19" t="n">
        <x:v>1226</x:v>
      </x:c>
      <x:c r="D93" s="20" t="n">
        <x:v>1226</x:v>
      </x:c>
      <x:c r="E93" s="20" t="str">
        <x:v>1226</x:v>
      </x:c>
      <x:c r="F93" s="20" t="str">
        <x:v>mm</x:v>
      </x:c>
      <x:c r="G93" s="20" t="n">
        <x:v>1226</x:v>
      </x:c>
      <x:c r="H93" s="20" t="str">
        <x:v>1226</x:v>
      </x:c>
      <x:c r="I93" s="20" t="n">
        <x:v>1</x:v>
      </x:c>
      <x:c r="J93" s="20" t="n">
        <x:v>1</x:v>
      </x:c>
      <x:c r="K93" s="31" t="b">
        <x:v>1</x:v>
      </x:c>
      <x:c r="L93" s="29" t="b">
        <x:v>1</x:v>
      </x:c>
      <x:c r="M93" s="19" t="str"/>
    </x:row>
    <x:row r="94">
      <x:c r="A94" s="18" t="str">
        <x:v>overall_diameter</x:v>
      </x:c>
      <x:c r="B94" s="18" t="str">
        <x:v>1228</x:v>
      </x:c>
      <x:c r="C94" s="19" t="n">
        <x:v>1228</x:v>
      </x:c>
      <x:c r="D94" s="18" t="n">
        <x:v>1228</x:v>
      </x:c>
      <x:c r="E94" s="18" t="str">
        <x:v>1228</x:v>
      </x:c>
      <x:c r="F94" s="18" t="str">
        <x:v>mm</x:v>
      </x:c>
      <x:c r="G94" s="18" t="n">
        <x:v>1228</x:v>
      </x:c>
      <x:c r="H94" s="18" t="str">
        <x:v>1228</x:v>
      </x:c>
      <x:c r="I94" s="18" t="n">
        <x:v>1</x:v>
      </x:c>
      <x:c r="J94" s="18" t="n">
        <x:v>1</x:v>
      </x:c>
      <x:c r="K94" s="28" t="b">
        <x:v>1</x:v>
      </x:c>
      <x:c r="L94" s="29" t="b">
        <x:v>1</x:v>
      </x:c>
      <x:c r="M94" s="19" t="str"/>
    </x:row>
    <x:row r="95">
      <x:c r="A95" s="20" t="str">
        <x:v>performance_feature</x:v>
      </x:c>
      <x:c r="B95" s="20" t="str">
        <x:v>anti-tear</x:v>
      </x:c>
      <x:c r="C95" s="19" t="str">
        <x:v>anti-tear</x:v>
      </x:c>
      <x:c r="D95" s="20" t="str">
        <x:v>anti-tear</x:v>
      </x:c>
      <x:c r="E95" s="20" t="str">
        <x:v>Стойкость к разрывам</x:v>
      </x:c>
      <x:c r="F95" s="20" t="str"/>
      <x:c r="G95" s="20" t="str"/>
      <x:c r="H95" s="20" t="str">
        <x:v>anti-tear</x:v>
      </x:c>
      <x:c r="I95" s="20" t="n">
        <x:v>10</x:v>
      </x:c>
      <x:c r="J95" s="20" t="n">
        <x:v>7</x:v>
      </x:c>
      <x:c r="K95" s="31" t="b">
        <x:v>1</x:v>
      </x:c>
      <x:c r="L95" s="29" t="b">
        <x:v>1</x:v>
      </x:c>
      <x:c r="M95" s="19" t="str">
        <x:v>Значение наследуется вариантами от модели.</x:v>
      </x:c>
    </x:row>
    <x:row r="96">
      <x:c r="A96" s="18" t="str">
        <x:v>performance_feature</x:v>
      </x:c>
      <x:c r="B96" s="18" t="str">
        <x:v>anti-wear</x:v>
      </x:c>
      <x:c r="C96" s="19" t="str">
        <x:v>anti-wear</x:v>
      </x:c>
      <x:c r="D96" s="18" t="str">
        <x:v>anti-wear</x:v>
      </x:c>
      <x:c r="E96" s="18" t="str">
        <x:v>Износостойкость</x:v>
      </x:c>
      <x:c r="F96" s="18" t="str"/>
      <x:c r="G96" s="18" t="str"/>
      <x:c r="H96" s="18" t="str">
        <x:v>anti-wear</x:v>
      </x:c>
      <x:c r="I96" s="18" t="n">
        <x:v>12</x:v>
      </x:c>
      <x:c r="J96" s="18" t="n">
        <x:v>9</x:v>
      </x:c>
      <x:c r="K96" s="28" t="b">
        <x:v>1</x:v>
      </x:c>
      <x:c r="L96" s="29" t="b">
        <x:v>1</x:v>
      </x:c>
      <x:c r="M96" s="19" t="str">
        <x:v>Значение наследуется вариантами от модели.</x:v>
      </x:c>
    </x:row>
    <x:row r="97">
      <x:c r="A97" s="20" t="str">
        <x:v>performance_feature</x:v>
      </x:c>
      <x:c r="B97" s="20" t="str">
        <x:v>cut-resistance</x:v>
      </x:c>
      <x:c r="C97" s="19" t="str">
        <x:v>cut-resistance</x:v>
      </x:c>
      <x:c r="D97" s="20" t="str">
        <x:v>cut-resistance</x:v>
      </x:c>
      <x:c r="E97" s="20" t="str">
        <x:v>Стойкость к порезам</x:v>
      </x:c>
      <x:c r="F97" s="20" t="str"/>
      <x:c r="G97" s="20" t="str"/>
      <x:c r="H97" s="20" t="str">
        <x:v>cut-resistance</x:v>
      </x:c>
      <x:c r="I97" s="20" t="n">
        <x:v>5</x:v>
      </x:c>
      <x:c r="J97" s="20" t="n">
        <x:v>3</x:v>
      </x:c>
      <x:c r="K97" s="31" t="b">
        <x:v>1</x:v>
      </x:c>
      <x:c r="L97" s="29" t="b">
        <x:v>1</x:v>
      </x:c>
      <x:c r="M97" s="19" t="str">
        <x:v>Значение наследуется вариантами от модели.</x:v>
      </x:c>
    </x:row>
    <x:row r="98">
      <x:c r="A98" s="18" t="str">
        <x:v>performance_feature</x:v>
      </x:c>
      <x:c r="B98" s="18" t="str">
        <x:v>economy</x:v>
      </x:c>
      <x:c r="C98" s="19" t="str">
        <x:v>economy</x:v>
      </x:c>
      <x:c r="D98" s="18" t="str">
        <x:v>economy</x:v>
      </x:c>
      <x:c r="E98" s="18" t="str">
        <x:v>Экономичность</x:v>
      </x:c>
      <x:c r="F98" s="18" t="str"/>
      <x:c r="G98" s="18" t="str"/>
      <x:c r="H98" s="18" t="str">
        <x:v>economy</x:v>
      </x:c>
      <x:c r="I98" s="18" t="n">
        <x:v>8</x:v>
      </x:c>
      <x:c r="J98" s="18" t="n">
        <x:v>6</x:v>
      </x:c>
      <x:c r="K98" s="28" t="b">
        <x:v>1</x:v>
      </x:c>
      <x:c r="L98" s="29" t="b">
        <x:v>1</x:v>
      </x:c>
      <x:c r="M98" s="19" t="str">
        <x:v>Значение наследуется вариантами от модели.</x:v>
      </x:c>
    </x:row>
    <x:row r="99">
      <x:c r="A99" s="20" t="str">
        <x:v>performance_feature</x:v>
      </x:c>
      <x:c r="B99" s="20" t="str">
        <x:v>handling</x:v>
      </x:c>
      <x:c r="C99" s="19" t="str">
        <x:v>handling</x:v>
      </x:c>
      <x:c r="D99" s="20" t="str">
        <x:v>handling</x:v>
      </x:c>
      <x:c r="E99" s="20" t="str">
        <x:v>Управляемость</x:v>
      </x:c>
      <x:c r="F99" s="20" t="str"/>
      <x:c r="G99" s="20" t="str"/>
      <x:c r="H99" s="20" t="str">
        <x:v>handling</x:v>
      </x:c>
      <x:c r="I99" s="20" t="n">
        <x:v>17</x:v>
      </x:c>
      <x:c r="J99" s="20" t="n">
        <x:v>7</x:v>
      </x:c>
      <x:c r="K99" s="31" t="b">
        <x:v>1</x:v>
      </x:c>
      <x:c r="L99" s="29" t="b">
        <x:v>1</x:v>
      </x:c>
      <x:c r="M99" s="19" t="str">
        <x:v>Значение наследуется вариантами от модели.</x:v>
      </x:c>
    </x:row>
    <x:row r="100">
      <x:c r="A100" s="18" t="str">
        <x:v>performance_feature</x:v>
      </x:c>
      <x:c r="B100" s="18" t="str">
        <x:v>heat-dissipation</x:v>
      </x:c>
      <x:c r="C100" s="19" t="str">
        <x:v>heat-dissipation</x:v>
      </x:c>
      <x:c r="D100" s="18" t="str">
        <x:v>heat-dissipation</x:v>
      </x:c>
      <x:c r="E100" s="18" t="str">
        <x:v>Теплоотвод</x:v>
      </x:c>
      <x:c r="F100" s="18" t="str"/>
      <x:c r="G100" s="18" t="str"/>
      <x:c r="H100" s="18" t="str">
        <x:v>heat-dissipation</x:v>
      </x:c>
      <x:c r="I100" s="18" t="n">
        <x:v>5</x:v>
      </x:c>
      <x:c r="J100" s="18" t="n">
        <x:v>4</x:v>
      </x:c>
      <x:c r="K100" s="28" t="b">
        <x:v>1</x:v>
      </x:c>
      <x:c r="L100" s="29" t="b">
        <x:v>1</x:v>
      </x:c>
      <x:c r="M100" s="19" t="str">
        <x:v>Значение наследуется вариантами от модели.</x:v>
      </x:c>
    </x:row>
    <x:row r="101">
      <x:c r="A101" s="20" t="str">
        <x:v>performance_feature</x:v>
      </x:c>
      <x:c r="B101" s="20" t="str">
        <x:v>heavy-load</x:v>
      </x:c>
      <x:c r="C101" s="19" t="str">
        <x:v>heavy-load</x:v>
      </x:c>
      <x:c r="D101" s="20" t="str">
        <x:v>heavy-load</x:v>
      </x:c>
      <x:c r="E101" s="20" t="str">
        <x:v>Высокая грузоподъёмность</x:v>
      </x:c>
      <x:c r="F101" s="20" t="str"/>
      <x:c r="G101" s="20" t="str"/>
      <x:c r="H101" s="20" t="str">
        <x:v>heavy-load</x:v>
      </x:c>
      <x:c r="I101" s="20" t="n">
        <x:v>20</x:v>
      </x:c>
      <x:c r="J101" s="20" t="n">
        <x:v>9</x:v>
      </x:c>
      <x:c r="K101" s="31" t="b">
        <x:v>1</x:v>
      </x:c>
      <x:c r="L101" s="29" t="b">
        <x:v>1</x:v>
      </x:c>
      <x:c r="M101" s="19" t="str">
        <x:v>Значение наследуется вариантами от модели.</x:v>
      </x:c>
    </x:row>
    <x:row r="102">
      <x:c r="A102" s="18" t="str">
        <x:v>performance_feature</x:v>
      </x:c>
      <x:c r="B102" s="18" t="str">
        <x:v>high-mileage</x:v>
      </x:c>
      <x:c r="C102" s="19" t="str">
        <x:v>high-mileage</x:v>
      </x:c>
      <x:c r="D102" s="18" t="str">
        <x:v>high-mileage</x:v>
      </x:c>
      <x:c r="E102" s="18" t="str">
        <x:v>Высокий пробег</x:v>
      </x:c>
      <x:c r="F102" s="18" t="str"/>
      <x:c r="G102" s="18" t="str"/>
      <x:c r="H102" s="18" t="str">
        <x:v>high-mileage</x:v>
      </x:c>
      <x:c r="I102" s="18" t="n">
        <x:v>32</x:v>
      </x:c>
      <x:c r="J102" s="18" t="n">
        <x:v>12</x:v>
      </x:c>
      <x:c r="K102" s="28" t="b">
        <x:v>1</x:v>
      </x:c>
      <x:c r="L102" s="29" t="b">
        <x:v>1</x:v>
      </x:c>
      <x:c r="M102" s="19" t="str">
        <x:v>Значение наследуется вариантами от модели.</x:v>
      </x:c>
    </x:row>
    <x:row r="103">
      <x:c r="A103" s="20" t="str">
        <x:v>performance_feature</x:v>
      </x:c>
      <x:c r="B103" s="20" t="str">
        <x:v>low-noise</x:v>
      </x:c>
      <x:c r="C103" s="19" t="str">
        <x:v>low-noise</x:v>
      </x:c>
      <x:c r="D103" s="20" t="str">
        <x:v>low-noise</x:v>
      </x:c>
      <x:c r="E103" s="20" t="str">
        <x:v>Низкий уровень шума</x:v>
      </x:c>
      <x:c r="F103" s="20" t="str"/>
      <x:c r="G103" s="20" t="str"/>
      <x:c r="H103" s="20" t="str">
        <x:v>low-noise</x:v>
      </x:c>
      <x:c r="I103" s="20" t="n">
        <x:v>4</x:v>
      </x:c>
      <x:c r="J103" s="20" t="n">
        <x:v>4</x:v>
      </x:c>
      <x:c r="K103" s="31" t="b">
        <x:v>1</x:v>
      </x:c>
      <x:c r="L103" s="29" t="b">
        <x:v>1</x:v>
      </x:c>
      <x:c r="M103" s="19" t="str">
        <x:v>Значение наследуется вариантами от модели.</x:v>
      </x:c>
    </x:row>
    <x:row r="104">
      <x:c r="A104" s="18" t="str">
        <x:v>performance_feature</x:v>
      </x:c>
      <x:c r="B104" s="18" t="str">
        <x:v>low-rolling-resistance</x:v>
      </x:c>
      <x:c r="C104" s="19" t="str">
        <x:v>low-rolling-resistance</x:v>
      </x:c>
      <x:c r="D104" s="18" t="str">
        <x:v>low-rolling-resistance</x:v>
      </x:c>
      <x:c r="E104" s="18" t="str">
        <x:v>Низкое сопротивление качению</x:v>
      </x:c>
      <x:c r="F104" s="18" t="str"/>
      <x:c r="G104" s="18" t="str"/>
      <x:c r="H104" s="18" t="str">
        <x:v>low-rolling-resistance</x:v>
      </x:c>
      <x:c r="I104" s="18" t="n">
        <x:v>1</x:v>
      </x:c>
      <x:c r="J104" s="18" t="n">
        <x:v>1</x:v>
      </x:c>
      <x:c r="K104" s="28" t="b">
        <x:v>1</x:v>
      </x:c>
      <x:c r="L104" s="29" t="b">
        <x:v>1</x:v>
      </x:c>
      <x:c r="M104" s="19" t="str">
        <x:v>Значение наследуется вариантами от модели.</x:v>
      </x:c>
    </x:row>
    <x:row r="105">
      <x:c r="A105" s="20" t="str">
        <x:v>performance_feature</x:v>
      </x:c>
      <x:c r="B105" s="20" t="str">
        <x:v>puncture-resistance</x:v>
      </x:c>
      <x:c r="C105" s="19" t="str">
        <x:v>puncture-resistance</x:v>
      </x:c>
      <x:c r="D105" s="20" t="str">
        <x:v>puncture-resistance</x:v>
      </x:c>
      <x:c r="E105" s="20" t="str">
        <x:v>Стойкость к проколам</x:v>
      </x:c>
      <x:c r="F105" s="20" t="str"/>
      <x:c r="G105" s="20" t="str"/>
      <x:c r="H105" s="20" t="str">
        <x:v>puncture-resistance</x:v>
      </x:c>
      <x:c r="I105" s="20" t="n">
        <x:v>2</x:v>
      </x:c>
      <x:c r="J105" s="20" t="n">
        <x:v>2</x:v>
      </x:c>
      <x:c r="K105" s="31" t="b">
        <x:v>1</x:v>
      </x:c>
      <x:c r="L105" s="29" t="b">
        <x:v>1</x:v>
      </x:c>
      <x:c r="M105" s="19" t="str">
        <x:v>Значение наследуется вариантами от модели.</x:v>
      </x:c>
    </x:row>
    <x:row r="106">
      <x:c r="A106" s="18" t="str">
        <x:v>performance_feature</x:v>
      </x:c>
      <x:c r="B106" s="18" t="str">
        <x:v>retreadability</x:v>
      </x:c>
      <x:c r="C106" s="19" t="str">
        <x:v>retreadability</x:v>
      </x:c>
      <x:c r="D106" s="18" t="str">
        <x:v>retreadability</x:v>
      </x:c>
      <x:c r="E106" s="18" t="str">
        <x:v>Восстанавливаемость</x:v>
      </x:c>
      <x:c r="F106" s="18" t="str"/>
      <x:c r="G106" s="18" t="str"/>
      <x:c r="H106" s="18" t="str">
        <x:v>retreadability</x:v>
      </x:c>
      <x:c r="I106" s="18" t="n">
        <x:v>6</x:v>
      </x:c>
      <x:c r="J106" s="18" t="n">
        <x:v>3</x:v>
      </x:c>
      <x:c r="K106" s="28" t="b">
        <x:v>1</x:v>
      </x:c>
      <x:c r="L106" s="29" t="b">
        <x:v>1</x:v>
      </x:c>
      <x:c r="M106" s="19" t="str">
        <x:v>Значение наследуется вариантами от модели.</x:v>
      </x:c>
    </x:row>
    <x:row r="107">
      <x:c r="A107" s="20" t="str">
        <x:v>performance_feature</x:v>
      </x:c>
      <x:c r="B107" s="20" t="str">
        <x:v>safety</x:v>
      </x:c>
      <x:c r="C107" s="19" t="str">
        <x:v>safety</x:v>
      </x:c>
      <x:c r="D107" s="20" t="str">
        <x:v>safety</x:v>
      </x:c>
      <x:c r="E107" s="20" t="str">
        <x:v>Безопасность</x:v>
      </x:c>
      <x:c r="F107" s="20" t="str"/>
      <x:c r="G107" s="20" t="str"/>
      <x:c r="H107" s="20" t="str">
        <x:v>safety</x:v>
      </x:c>
      <x:c r="I107" s="20" t="n">
        <x:v>19</x:v>
      </x:c>
      <x:c r="J107" s="20" t="n">
        <x:v>9</x:v>
      </x:c>
      <x:c r="K107" s="31" t="b">
        <x:v>1</x:v>
      </x:c>
      <x:c r="L107" s="29" t="b">
        <x:v>1</x:v>
      </x:c>
      <x:c r="M107" s="19" t="str">
        <x:v>Значение наследуется вариантами от модели.</x:v>
      </x:c>
    </x:row>
    <x:row r="108">
      <x:c r="A108" s="18" t="str">
        <x:v>performance_feature</x:v>
      </x:c>
      <x:c r="B108" s="18" t="str">
        <x:v>self-cleaning</x:v>
      </x:c>
      <x:c r="C108" s="19" t="str">
        <x:v>self-cleaning</x:v>
      </x:c>
      <x:c r="D108" s="18" t="str">
        <x:v>self-cleaning</x:v>
      </x:c>
      <x:c r="E108" s="18" t="str">
        <x:v>Самоочищение</x:v>
      </x:c>
      <x:c r="F108" s="18" t="str"/>
      <x:c r="G108" s="18" t="str"/>
      <x:c r="H108" s="18" t="str">
        <x:v>self-cleaning</x:v>
      </x:c>
      <x:c r="I108" s="18" t="n">
        <x:v>2</x:v>
      </x:c>
      <x:c r="J108" s="18" t="n">
        <x:v>2</x:v>
      </x:c>
      <x:c r="K108" s="28" t="b">
        <x:v>1</x:v>
      </x:c>
      <x:c r="L108" s="29" t="b">
        <x:v>1</x:v>
      </x:c>
      <x:c r="M108" s="19" t="str">
        <x:v>Значение наследуется вариантами от модели.</x:v>
      </x:c>
    </x:row>
    <x:row r="109">
      <x:c r="A109" s="20" t="str">
        <x:v>performance_feature</x:v>
      </x:c>
      <x:c r="B109" s="20" t="str">
        <x:v>short-braking-distance</x:v>
      </x:c>
      <x:c r="C109" s="19" t="str">
        <x:v>short-braking-distance</x:v>
      </x:c>
      <x:c r="D109" s="20" t="str">
        <x:v>short-braking-distance</x:v>
      </x:c>
      <x:c r="E109" s="20" t="str">
        <x:v>Короткий тормозной путь</x:v>
      </x:c>
      <x:c r="F109" s="20" t="str"/>
      <x:c r="G109" s="20" t="str"/>
      <x:c r="H109" s="20" t="str">
        <x:v>short-braking-distance</x:v>
      </x:c>
      <x:c r="I109" s="20" t="n">
        <x:v>4</x:v>
      </x:c>
      <x:c r="J109" s="20" t="n">
        <x:v>3</x:v>
      </x:c>
      <x:c r="K109" s="31" t="b">
        <x:v>1</x:v>
      </x:c>
      <x:c r="L109" s="29" t="b">
        <x:v>1</x:v>
      </x:c>
      <x:c r="M109" s="19" t="str">
        <x:v>Значение наследуется вариантами от модели.</x:v>
      </x:c>
    </x:row>
    <x:row r="110">
      <x:c r="A110" s="18" t="str">
        <x:v>performance_feature</x:v>
      </x:c>
      <x:c r="B110" s="18" t="str">
        <x:v>stone-ejection</x:v>
      </x:c>
      <x:c r="C110" s="19" t="str">
        <x:v>stone-ejection</x:v>
      </x:c>
      <x:c r="D110" s="18" t="str">
        <x:v>stone-ejection</x:v>
      </x:c>
      <x:c r="E110" s="18" t="str">
        <x:v>Удаление камней</x:v>
      </x:c>
      <x:c r="F110" s="18" t="str"/>
      <x:c r="G110" s="18" t="str"/>
      <x:c r="H110" s="18" t="str">
        <x:v>stone-ejection</x:v>
      </x:c>
      <x:c r="I110" s="18" t="n">
        <x:v>6</x:v>
      </x:c>
      <x:c r="J110" s="18" t="n">
        <x:v>4</x:v>
      </x:c>
      <x:c r="K110" s="28" t="b">
        <x:v>1</x:v>
      </x:c>
      <x:c r="L110" s="29" t="b">
        <x:v>1</x:v>
      </x:c>
      <x:c r="M110" s="19" t="str">
        <x:v>Значение наследуется вариантами от модели.</x:v>
      </x:c>
    </x:row>
    <x:row r="111">
      <x:c r="A111" s="20" t="str">
        <x:v>performance_feature</x:v>
      </x:c>
      <x:c r="B111" s="20" t="str">
        <x:v>wet-grip</x:v>
      </x:c>
      <x:c r="C111" s="19" t="str">
        <x:v>wet-grip</x:v>
      </x:c>
      <x:c r="D111" s="20" t="str">
        <x:v>wet-grip</x:v>
      </x:c>
      <x:c r="E111" s="20" t="str">
        <x:v>Сцепление на мокрой дороге</x:v>
      </x:c>
      <x:c r="F111" s="20" t="str"/>
      <x:c r="G111" s="20" t="str"/>
      <x:c r="H111" s="20" t="str">
        <x:v>wet-grip</x:v>
      </x:c>
      <x:c r="I111" s="20" t="n">
        <x:v>15</x:v>
      </x:c>
      <x:c r="J111" s="20" t="n">
        <x:v>5</x:v>
      </x:c>
      <x:c r="K111" s="31" t="b">
        <x:v>1</x:v>
      </x:c>
      <x:c r="L111" s="29" t="b">
        <x:v>1</x:v>
      </x:c>
      <x:c r="M111" s="19" t="str">
        <x:v>Значение наследуется вариантами от модели.</x:v>
      </x:c>
    </x:row>
    <x:row r="112">
      <x:c r="A112" s="18" t="str">
        <x:v>ply_rating</x:v>
      </x:c>
      <x:c r="B112" s="18" t="str">
        <x:v>14</x:v>
      </x:c>
      <x:c r="C112" s="19" t="n">
        <x:v>14</x:v>
      </x:c>
      <x:c r="D112" s="18" t="n">
        <x:v>14</x:v>
      </x:c>
      <x:c r="E112" s="18" t="str">
        <x:v>14</x:v>
      </x:c>
      <x:c r="F112" s="18" t="str">
        <x:v>PR</x:v>
      </x:c>
      <x:c r="G112" s="18" t="n">
        <x:v>14</x:v>
      </x:c>
      <x:c r="H112" s="18" t="str">
        <x:v>14</x:v>
      </x:c>
      <x:c r="I112" s="18" t="n">
        <x:v>1</x:v>
      </x:c>
      <x:c r="J112" s="18" t="n">
        <x:v>1</x:v>
      </x:c>
      <x:c r="K112" s="28" t="b">
        <x:v>1</x:v>
      </x:c>
      <x:c r="L112" s="29" t="b">
        <x:v>1</x:v>
      </x:c>
      <x:c r="M112" s="19" t="str"/>
    </x:row>
    <x:row r="113">
      <x:c r="A113" s="20" t="str">
        <x:v>ply_rating</x:v>
      </x:c>
      <x:c r="B113" s="20" t="str">
        <x:v>16</x:v>
      </x:c>
      <x:c r="C113" s="19" t="n">
        <x:v>16</x:v>
      </x:c>
      <x:c r="D113" s="20" t="n">
        <x:v>16</x:v>
      </x:c>
      <x:c r="E113" s="20" t="str">
        <x:v>16</x:v>
      </x:c>
      <x:c r="F113" s="20" t="str">
        <x:v>PR</x:v>
      </x:c>
      <x:c r="G113" s="20" t="n">
        <x:v>16</x:v>
      </x:c>
      <x:c r="H113" s="20" t="str">
        <x:v>16</x:v>
      </x:c>
      <x:c r="I113" s="20" t="n">
        <x:v>8</x:v>
      </x:c>
      <x:c r="J113" s="20" t="n">
        <x:v>2</x:v>
      </x:c>
      <x:c r="K113" s="31" t="b">
        <x:v>1</x:v>
      </x:c>
      <x:c r="L113" s="29" t="b">
        <x:v>1</x:v>
      </x:c>
      <x:c r="M113" s="19" t="str"/>
    </x:row>
    <x:row r="114">
      <x:c r="A114" s="18" t="str">
        <x:v>ply_rating</x:v>
      </x:c>
      <x:c r="B114" s="18" t="str">
        <x:v>18</x:v>
      </x:c>
      <x:c r="C114" s="19" t="n">
        <x:v>18</x:v>
      </x:c>
      <x:c r="D114" s="18" t="n">
        <x:v>18</x:v>
      </x:c>
      <x:c r="E114" s="18" t="str">
        <x:v>18</x:v>
      </x:c>
      <x:c r="F114" s="18" t="str">
        <x:v>PR</x:v>
      </x:c>
      <x:c r="G114" s="18" t="n">
        <x:v>18</x:v>
      </x:c>
      <x:c r="H114" s="18" t="str">
        <x:v>18</x:v>
      </x:c>
      <x:c r="I114" s="18" t="n">
        <x:v>15</x:v>
      </x:c>
      <x:c r="J114" s="18" t="n">
        <x:v>11</x:v>
      </x:c>
      <x:c r="K114" s="28" t="b">
        <x:v>1</x:v>
      </x:c>
      <x:c r="L114" s="29" t="b">
        <x:v>1</x:v>
      </x:c>
      <x:c r="M114" s="19" t="str"/>
    </x:row>
    <x:row r="115">
      <x:c r="A115" s="20" t="str">
        <x:v>ply_rating</x:v>
      </x:c>
      <x:c r="B115" s="20" t="str">
        <x:v>20</x:v>
      </x:c>
      <x:c r="C115" s="19" t="n">
        <x:v>20</x:v>
      </x:c>
      <x:c r="D115" s="20" t="n">
        <x:v>20</x:v>
      </x:c>
      <x:c r="E115" s="20" t="str">
        <x:v>20</x:v>
      </x:c>
      <x:c r="F115" s="20" t="str">
        <x:v>PR</x:v>
      </x:c>
      <x:c r="G115" s="20" t="n">
        <x:v>20</x:v>
      </x:c>
      <x:c r="H115" s="20" t="str">
        <x:v>20</x:v>
      </x:c>
      <x:c r="I115" s="20" t="n">
        <x:v>17</x:v>
      </x:c>
      <x:c r="J115" s="20" t="n">
        <x:v>15</x:v>
      </x:c>
      <x:c r="K115" s="31" t="b">
        <x:v>1</x:v>
      </x:c>
      <x:c r="L115" s="29" t="b">
        <x:v>1</x:v>
      </x:c>
      <x:c r="M115" s="19" t="str"/>
    </x:row>
    <x:row r="116">
      <x:c r="A116" s="18" t="str">
        <x:v>ply_rating</x:v>
      </x:c>
      <x:c r="B116" s="18" t="str">
        <x:v>22</x:v>
      </x:c>
      <x:c r="C116" s="19" t="n">
        <x:v>22</x:v>
      </x:c>
      <x:c r="D116" s="18" t="n">
        <x:v>22</x:v>
      </x:c>
      <x:c r="E116" s="18" t="str">
        <x:v>22</x:v>
      </x:c>
      <x:c r="F116" s="18" t="str">
        <x:v>PR</x:v>
      </x:c>
      <x:c r="G116" s="18" t="n">
        <x:v>22</x:v>
      </x:c>
      <x:c r="H116" s="18" t="str">
        <x:v>22</x:v>
      </x:c>
      <x:c r="I116" s="18" t="n">
        <x:v>4</x:v>
      </x:c>
      <x:c r="J116" s="18" t="n">
        <x:v>4</x:v>
      </x:c>
      <x:c r="K116" s="28" t="b">
        <x:v>1</x:v>
      </x:c>
      <x:c r="L116" s="29" t="b">
        <x:v>1</x:v>
      </x:c>
      <x:c r="M116" s="19" t="str"/>
    </x:row>
    <x:row r="117">
      <x:c r="A117" s="20" t="str">
        <x:v>ply_rating</x:v>
      </x:c>
      <x:c r="B117" s="20" t="str">
        <x:v>24</x:v>
      </x:c>
      <x:c r="C117" s="19" t="n">
        <x:v>24</x:v>
      </x:c>
      <x:c r="D117" s="20" t="n">
        <x:v>24</x:v>
      </x:c>
      <x:c r="E117" s="20" t="str">
        <x:v>24</x:v>
      </x:c>
      <x:c r="F117" s="20" t="str">
        <x:v>PR</x:v>
      </x:c>
      <x:c r="G117" s="20" t="n">
        <x:v>24</x:v>
      </x:c>
      <x:c r="H117" s="20" t="str">
        <x:v>24</x:v>
      </x:c>
      <x:c r="I117" s="20" t="n">
        <x:v>3</x:v>
      </x:c>
      <x:c r="J117" s="20" t="n">
        <x:v>3</x:v>
      </x:c>
      <x:c r="K117" s="31" t="b">
        <x:v>1</x:v>
      </x:c>
      <x:c r="L117" s="29" t="b">
        <x:v>1</x:v>
      </x:c>
      <x:c r="M117" s="19" t="str"/>
    </x:row>
    <x:row r="118">
      <x:c r="A118" s="18" t="str">
        <x:v>rim_diameter</x:v>
      </x:c>
      <x:c r="B118" s="18" t="str">
        <x:v>17-5</x:v>
      </x:c>
      <x:c r="C118" s="19" t="n">
        <x:v>17.5</x:v>
      </x:c>
      <x:c r="D118" s="18" t="n">
        <x:v>17.5</x:v>
      </x:c>
      <x:c r="E118" s="18" t="str">
        <x:v>17.5</x:v>
      </x:c>
      <x:c r="F118" s="18" t="str">
        <x:v>inch</x:v>
      </x:c>
      <x:c r="G118" s="18" t="n">
        <x:v>17.5</x:v>
      </x:c>
      <x:c r="H118" s="18" t="str">
        <x:v>17.5</x:v>
      </x:c>
      <x:c r="I118" s="18" t="n">
        <x:v>5</x:v>
      </x:c>
      <x:c r="J118" s="18" t="n">
        <x:v>2</x:v>
      </x:c>
      <x:c r="K118" s="28" t="b">
        <x:v>1</x:v>
      </x:c>
      <x:c r="L118" s="29" t="b">
        <x:v>1</x:v>
      </x:c>
      <x:c r="M118" s="19" t="str"/>
    </x:row>
    <x:row r="119">
      <x:c r="A119" s="20" t="str">
        <x:v>rim_diameter</x:v>
      </x:c>
      <x:c r="B119" s="20" t="str">
        <x:v>19-5</x:v>
      </x:c>
      <x:c r="C119" s="19" t="n">
        <x:v>19.5</x:v>
      </x:c>
      <x:c r="D119" s="20" t="n">
        <x:v>19.5</x:v>
      </x:c>
      <x:c r="E119" s="20" t="str">
        <x:v>19.5</x:v>
      </x:c>
      <x:c r="F119" s="20" t="str">
        <x:v>inch</x:v>
      </x:c>
      <x:c r="G119" s="20" t="n">
        <x:v>19.5</x:v>
      </x:c>
      <x:c r="H119" s="20" t="str">
        <x:v>19.5</x:v>
      </x:c>
      <x:c r="I119" s="20" t="n">
        <x:v>6</x:v>
      </x:c>
      <x:c r="J119" s="20" t="n">
        <x:v>4</x:v>
      </x:c>
      <x:c r="K119" s="31" t="b">
        <x:v>1</x:v>
      </x:c>
      <x:c r="L119" s="29" t="b">
        <x:v>1</x:v>
      </x:c>
      <x:c r="M119" s="19" t="str"/>
    </x:row>
    <x:row r="120">
      <x:c r="A120" s="18" t="str">
        <x:v>rim_diameter</x:v>
      </x:c>
      <x:c r="B120" s="18" t="str">
        <x:v>20</x:v>
      </x:c>
      <x:c r="C120" s="19" t="n">
        <x:v>20</x:v>
      </x:c>
      <x:c r="D120" s="18" t="n">
        <x:v>20</x:v>
      </x:c>
      <x:c r="E120" s="18" t="str">
        <x:v>20</x:v>
      </x:c>
      <x:c r="F120" s="18" t="str">
        <x:v>inch</x:v>
      </x:c>
      <x:c r="G120" s="18" t="n">
        <x:v>20</x:v>
      </x:c>
      <x:c r="H120" s="18" t="str">
        <x:v>20</x:v>
      </x:c>
      <x:c r="I120" s="18" t="n">
        <x:v>5</x:v>
      </x:c>
      <x:c r="J120" s="18" t="n">
        <x:v>4</x:v>
      </x:c>
      <x:c r="K120" s="28" t="b">
        <x:v>1</x:v>
      </x:c>
      <x:c r="L120" s="29" t="b">
        <x:v>1</x:v>
      </x:c>
      <x:c r="M120" s="19" t="str"/>
    </x:row>
    <x:row r="121">
      <x:c r="A121" s="20" t="str">
        <x:v>rim_diameter</x:v>
      </x:c>
      <x:c r="B121" s="20" t="str">
        <x:v>22-5</x:v>
      </x:c>
      <x:c r="C121" s="19" t="n">
        <x:v>22.5</x:v>
      </x:c>
      <x:c r="D121" s="20" t="n">
        <x:v>22.5</x:v>
      </x:c>
      <x:c r="E121" s="20" t="str">
        <x:v>22.5</x:v>
      </x:c>
      <x:c r="F121" s="20" t="str">
        <x:v>inch</x:v>
      </x:c>
      <x:c r="G121" s="20" t="n">
        <x:v>22.5</x:v>
      </x:c>
      <x:c r="H121" s="20" t="str">
        <x:v>22.5</x:v>
      </x:c>
      <x:c r="I121" s="20" t="n">
        <x:v>30</x:v>
      </x:c>
      <x:c r="J121" s="20" t="n">
        <x:v>17</x:v>
      </x:c>
      <x:c r="K121" s="31" t="b">
        <x:v>1</x:v>
      </x:c>
      <x:c r="L121" s="29" t="b">
        <x:v>1</x:v>
      </x:c>
      <x:c r="M121" s="19" t="str"/>
    </x:row>
    <x:row r="122">
      <x:c r="A122" s="18" t="str">
        <x:v>rim_diameter</x:v>
      </x:c>
      <x:c r="B122" s="18" t="str">
        <x:v>24</x:v>
      </x:c>
      <x:c r="C122" s="19" t="n">
        <x:v>24</x:v>
      </x:c>
      <x:c r="D122" s="18" t="n">
        <x:v>24</x:v>
      </x:c>
      <x:c r="E122" s="18" t="str">
        <x:v>24</x:v>
      </x:c>
      <x:c r="F122" s="18" t="str">
        <x:v>inch</x:v>
      </x:c>
      <x:c r="G122" s="18" t="n">
        <x:v>24</x:v>
      </x:c>
      <x:c r="H122" s="18" t="str">
        <x:v>24</x:v>
      </x:c>
      <x:c r="I122" s="18" t="n">
        <x:v>2</x:v>
      </x:c>
      <x:c r="J122" s="18" t="n">
        <x:v>1</x:v>
      </x:c>
      <x:c r="K122" s="28" t="b">
        <x:v>1</x:v>
      </x:c>
      <x:c r="L122" s="29" t="b">
        <x:v>1</x:v>
      </x:c>
      <x:c r="M122" s="19" t="str"/>
    </x:row>
    <x:row r="123">
      <x:c r="A123" s="20" t="str">
        <x:v>section_width</x:v>
      </x:c>
      <x:c r="B123" s="20" t="str">
        <x:v>211</x:v>
      </x:c>
      <x:c r="C123" s="19" t="n">
        <x:v>211</x:v>
      </x:c>
      <x:c r="D123" s="20" t="n">
        <x:v>211</x:v>
      </x:c>
      <x:c r="E123" s="20" t="str">
        <x:v>211</x:v>
      </x:c>
      <x:c r="F123" s="20" t="str">
        <x:v>mm</x:v>
      </x:c>
      <x:c r="G123" s="20" t="n">
        <x:v>211</x:v>
      </x:c>
      <x:c r="H123" s="20" t="str">
        <x:v>211</x:v>
      </x:c>
      <x:c r="I123" s="20" t="n">
        <x:v>2</x:v>
      </x:c>
      <x:c r="J123" s="20" t="n">
        <x:v>2</x:v>
      </x:c>
      <x:c r="K123" s="31" t="b">
        <x:v>1</x:v>
      </x:c>
      <x:c r="L123" s="29" t="b">
        <x:v>1</x:v>
      </x:c>
      <x:c r="M123" s="19" t="str"/>
    </x:row>
    <x:row r="124">
      <x:c r="A124" s="18" t="str">
        <x:v>section_width</x:v>
      </x:c>
      <x:c r="B124" s="18" t="str">
        <x:v>226</x:v>
      </x:c>
      <x:c r="C124" s="19" t="n">
        <x:v>226</x:v>
      </x:c>
      <x:c r="D124" s="18" t="n">
        <x:v>226</x:v>
      </x:c>
      <x:c r="E124" s="18" t="str">
        <x:v>226</x:v>
      </x:c>
      <x:c r="F124" s="18" t="str">
        <x:v>mm</x:v>
      </x:c>
      <x:c r="G124" s="18" t="n">
        <x:v>226</x:v>
      </x:c>
      <x:c r="H124" s="18" t="str">
        <x:v>226</x:v>
      </x:c>
      <x:c r="I124" s="18" t="n">
        <x:v>1</x:v>
      </x:c>
      <x:c r="J124" s="18" t="n">
        <x:v>1</x:v>
      </x:c>
      <x:c r="K124" s="28" t="b">
        <x:v>1</x:v>
      </x:c>
      <x:c r="L124" s="29" t="b">
        <x:v>1</x:v>
      </x:c>
      <x:c r="M124" s="19" t="str"/>
    </x:row>
    <x:row r="125">
      <x:c r="A125" s="20" t="str">
        <x:v>section_width</x:v>
      </x:c>
      <x:c r="B125" s="20" t="str">
        <x:v>233</x:v>
      </x:c>
      <x:c r="C125" s="19" t="n">
        <x:v>233</x:v>
      </x:c>
      <x:c r="D125" s="20" t="n">
        <x:v>233</x:v>
      </x:c>
      <x:c r="E125" s="20" t="str">
        <x:v>233</x:v>
      </x:c>
      <x:c r="F125" s="20" t="str">
        <x:v>mm</x:v>
      </x:c>
      <x:c r="G125" s="20" t="n">
        <x:v>233</x:v>
      </x:c>
      <x:c r="H125" s="20" t="str">
        <x:v>233</x:v>
      </x:c>
      <x:c r="I125" s="20" t="n">
        <x:v>2</x:v>
      </x:c>
      <x:c r="J125" s="20" t="n">
        <x:v>2</x:v>
      </x:c>
      <x:c r="K125" s="31" t="b">
        <x:v>1</x:v>
      </x:c>
      <x:c r="L125" s="29" t="b">
        <x:v>1</x:v>
      </x:c>
      <x:c r="M125" s="19" t="str"/>
    </x:row>
    <x:row r="126">
      <x:c r="A126" s="18" t="str">
        <x:v>section_width</x:v>
      </x:c>
      <x:c r="B126" s="18" t="str">
        <x:v>248</x:v>
      </x:c>
      <x:c r="C126" s="19" t="n">
        <x:v>248</x:v>
      </x:c>
      <x:c r="D126" s="18" t="n">
        <x:v>248</x:v>
      </x:c>
      <x:c r="E126" s="18" t="str">
        <x:v>248</x:v>
      </x:c>
      <x:c r="F126" s="18" t="str">
        <x:v>mm</x:v>
      </x:c>
      <x:c r="G126" s="18" t="n">
        <x:v>248</x:v>
      </x:c>
      <x:c r="H126" s="18" t="str">
        <x:v>248</x:v>
      </x:c>
      <x:c r="I126" s="18" t="n">
        <x:v>1</x:v>
      </x:c>
      <x:c r="J126" s="18" t="n">
        <x:v>1</x:v>
      </x:c>
      <x:c r="K126" s="28" t="b">
        <x:v>1</x:v>
      </x:c>
      <x:c r="L126" s="29" t="b">
        <x:v>1</x:v>
      </x:c>
      <x:c r="M126" s="19" t="str"/>
    </x:row>
    <x:row r="127">
      <x:c r="A127" s="20" t="str">
        <x:v>section_width</x:v>
      </x:c>
      <x:c r="B127" s="20" t="str">
        <x:v>262</x:v>
      </x:c>
      <x:c r="C127" s="19" t="n">
        <x:v>262</x:v>
      </x:c>
      <x:c r="D127" s="20" t="n">
        <x:v>262</x:v>
      </x:c>
      <x:c r="E127" s="20" t="str">
        <x:v>262</x:v>
      </x:c>
      <x:c r="F127" s="20" t="str">
        <x:v>mm</x:v>
      </x:c>
      <x:c r="G127" s="20" t="n">
        <x:v>262</x:v>
      </x:c>
      <x:c r="H127" s="20" t="str">
        <x:v>262</x:v>
      </x:c>
      <x:c r="I127" s="20" t="n">
        <x:v>2</x:v>
      </x:c>
      <x:c r="J127" s="20" t="n">
        <x:v>2</x:v>
      </x:c>
      <x:c r="K127" s="31" t="b">
        <x:v>1</x:v>
      </x:c>
      <x:c r="L127" s="29" t="b">
        <x:v>1</x:v>
      </x:c>
      <x:c r="M127" s="19" t="str"/>
    </x:row>
    <x:row r="128">
      <x:c r="A128" s="18" t="str">
        <x:v>section_width</x:v>
      </x:c>
      <x:c r="B128" s="18" t="str">
        <x:v>276</x:v>
      </x:c>
      <x:c r="C128" s="19" t="n">
        <x:v>276</x:v>
      </x:c>
      <x:c r="D128" s="18" t="n">
        <x:v>276</x:v>
      </x:c>
      <x:c r="E128" s="18" t="str">
        <x:v>276</x:v>
      </x:c>
      <x:c r="F128" s="18" t="str">
        <x:v>mm</x:v>
      </x:c>
      <x:c r="G128" s="18" t="n">
        <x:v>276</x:v>
      </x:c>
      <x:c r="H128" s="18" t="str">
        <x:v>276</x:v>
      </x:c>
      <x:c r="I128" s="18" t="n">
        <x:v>1</x:v>
      </x:c>
      <x:c r="J128" s="18" t="n">
        <x:v>1</x:v>
      </x:c>
      <x:c r="K128" s="28" t="b">
        <x:v>1</x:v>
      </x:c>
      <x:c r="L128" s="29" t="b">
        <x:v>1</x:v>
      </x:c>
      <x:c r="M128" s="19" t="str"/>
    </x:row>
    <x:row r="129">
      <x:c r="A129" s="20" t="str">
        <x:v>section_width</x:v>
      </x:c>
      <x:c r="B129" s="20" t="str">
        <x:v>283</x:v>
      </x:c>
      <x:c r="C129" s="19" t="n">
        <x:v>283</x:v>
      </x:c>
      <x:c r="D129" s="20" t="n">
        <x:v>283</x:v>
      </x:c>
      <x:c r="E129" s="20" t="str">
        <x:v>283</x:v>
      </x:c>
      <x:c r="F129" s="20" t="str">
        <x:v>mm</x:v>
      </x:c>
      <x:c r="G129" s="20" t="n">
        <x:v>283</x:v>
      </x:c>
      <x:c r="H129" s="20" t="str">
        <x:v>283</x:v>
      </x:c>
      <x:c r="I129" s="20" t="n">
        <x:v>1</x:v>
      </x:c>
      <x:c r="J129" s="20" t="n">
        <x:v>1</x:v>
      </x:c>
      <x:c r="K129" s="31" t="b">
        <x:v>1</x:v>
      </x:c>
      <x:c r="L129" s="29" t="b">
        <x:v>1</x:v>
      </x:c>
      <x:c r="M129" s="19" t="str"/>
    </x:row>
    <x:row r="130">
      <x:c r="A130" s="18" t="str">
        <x:v>section_width</x:v>
      </x:c>
      <x:c r="B130" s="18" t="str">
        <x:v>292</x:v>
      </x:c>
      <x:c r="C130" s="19" t="n">
        <x:v>292</x:v>
      </x:c>
      <x:c r="D130" s="18" t="n">
        <x:v>292</x:v>
      </x:c>
      <x:c r="E130" s="18" t="str">
        <x:v>292</x:v>
      </x:c>
      <x:c r="F130" s="18" t="str">
        <x:v>mm</x:v>
      </x:c>
      <x:c r="G130" s="18" t="n">
        <x:v>292</x:v>
      </x:c>
      <x:c r="H130" s="18" t="str">
        <x:v>292</x:v>
      </x:c>
      <x:c r="I130" s="18" t="n">
        <x:v>1</x:v>
      </x:c>
      <x:c r="J130" s="18" t="n">
        <x:v>1</x:v>
      </x:c>
      <x:c r="K130" s="28" t="b">
        <x:v>1</x:v>
      </x:c>
      <x:c r="L130" s="29" t="b">
        <x:v>1</x:v>
      </x:c>
      <x:c r="M130" s="19" t="str"/>
    </x:row>
    <x:row r="131">
      <x:c r="A131" s="20" t="str">
        <x:v>section_width</x:v>
      </x:c>
      <x:c r="B131" s="20" t="str">
        <x:v>298</x:v>
      </x:c>
      <x:c r="C131" s="19" t="n">
        <x:v>298</x:v>
      </x:c>
      <x:c r="D131" s="20" t="n">
        <x:v>298</x:v>
      </x:c>
      <x:c r="E131" s="20" t="str">
        <x:v>298</x:v>
      </x:c>
      <x:c r="F131" s="20" t="str">
        <x:v>mm</x:v>
      </x:c>
      <x:c r="G131" s="20" t="n">
        <x:v>298</x:v>
      </x:c>
      <x:c r="H131" s="20" t="str">
        <x:v>298</x:v>
      </x:c>
      <x:c r="I131" s="20" t="n">
        <x:v>4</x:v>
      </x:c>
      <x:c r="J131" s="20" t="n">
        <x:v>4</x:v>
      </x:c>
      <x:c r="K131" s="31" t="b">
        <x:v>1</x:v>
      </x:c>
      <x:c r="L131" s="29" t="b">
        <x:v>1</x:v>
      </x:c>
      <x:c r="M131" s="19" t="str"/>
    </x:row>
    <x:row r="132">
      <x:c r="A132" s="18" t="str">
        <x:v>section_width</x:v>
      </x:c>
      <x:c r="B132" s="18" t="str">
        <x:v>312</x:v>
      </x:c>
      <x:c r="C132" s="19" t="n">
        <x:v>312</x:v>
      </x:c>
      <x:c r="D132" s="18" t="n">
        <x:v>312</x:v>
      </x:c>
      <x:c r="E132" s="18" t="str">
        <x:v>312</x:v>
      </x:c>
      <x:c r="F132" s="18" t="str">
        <x:v>mm</x:v>
      </x:c>
      <x:c r="G132" s="18" t="n">
        <x:v>312</x:v>
      </x:c>
      <x:c r="H132" s="18" t="str">
        <x:v>312</x:v>
      </x:c>
      <x:c r="I132" s="18" t="n">
        <x:v>13</x:v>
      </x:c>
      <x:c r="J132" s="18" t="n">
        <x:v>8</x:v>
      </x:c>
      <x:c r="K132" s="28" t="b">
        <x:v>1</x:v>
      </x:c>
      <x:c r="L132" s="29" t="b">
        <x:v>1</x:v>
      </x:c>
      <x:c r="M132" s="19" t="str"/>
    </x:row>
    <x:row r="133">
      <x:c r="A133" s="20" t="str">
        <x:v>section_width</x:v>
      </x:c>
      <x:c r="B133" s="20" t="str">
        <x:v>313</x:v>
      </x:c>
      <x:c r="C133" s="19" t="n">
        <x:v>313</x:v>
      </x:c>
      <x:c r="D133" s="20" t="n">
        <x:v>313</x:v>
      </x:c>
      <x:c r="E133" s="20" t="str">
        <x:v>313</x:v>
      </x:c>
      <x:c r="F133" s="20" t="str">
        <x:v>mm</x:v>
      </x:c>
      <x:c r="G133" s="20" t="n">
        <x:v>313</x:v>
      </x:c>
      <x:c r="H133" s="20" t="str">
        <x:v>313</x:v>
      </x:c>
      <x:c r="I133" s="20" t="n">
        <x:v>2</x:v>
      </x:c>
      <x:c r="J133" s="20" t="n">
        <x:v>2</x:v>
      </x:c>
      <x:c r="K133" s="31" t="b">
        <x:v>1</x:v>
      </x:c>
      <x:c r="L133" s="29" t="b">
        <x:v>1</x:v>
      </x:c>
      <x:c r="M133" s="19" t="str"/>
    </x:row>
    <x:row r="134">
      <x:c r="A134" s="18" t="str">
        <x:v>section_width</x:v>
      </x:c>
      <x:c r="B134" s="18" t="str">
        <x:v>315</x:v>
      </x:c>
      <x:c r="C134" s="19" t="n">
        <x:v>315</x:v>
      </x:c>
      <x:c r="D134" s="18" t="n">
        <x:v>315</x:v>
      </x:c>
      <x:c r="E134" s="18" t="str">
        <x:v>315</x:v>
      </x:c>
      <x:c r="F134" s="18" t="str">
        <x:v>mm</x:v>
      </x:c>
      <x:c r="G134" s="18" t="n">
        <x:v>315</x:v>
      </x:c>
      <x:c r="H134" s="18" t="str">
        <x:v>315</x:v>
      </x:c>
      <x:c r="I134" s="18" t="n">
        <x:v>6</x:v>
      </x:c>
      <x:c r="J134" s="18" t="n">
        <x:v>5</x:v>
      </x:c>
      <x:c r="K134" s="28" t="b">
        <x:v>1</x:v>
      </x:c>
      <x:c r="L134" s="29" t="b">
        <x:v>1</x:v>
      </x:c>
      <x:c r="M134" s="19" t="str"/>
    </x:row>
    <x:row r="135">
      <x:c r="A135" s="20" t="str">
        <x:v>section_width</x:v>
      </x:c>
      <x:c r="B135" s="20" t="str">
        <x:v>320</x:v>
      </x:c>
      <x:c r="C135" s="19" t="n">
        <x:v>320</x:v>
      </x:c>
      <x:c r="D135" s="20" t="n">
        <x:v>320</x:v>
      </x:c>
      <x:c r="E135" s="20" t="str">
        <x:v>320</x:v>
      </x:c>
      <x:c r="F135" s="20" t="str">
        <x:v>mm</x:v>
      </x:c>
      <x:c r="G135" s="20" t="n">
        <x:v>320</x:v>
      </x:c>
      <x:c r="H135" s="20" t="str">
        <x:v>320</x:v>
      </x:c>
      <x:c r="I135" s="20" t="n">
        <x:v>2</x:v>
      </x:c>
      <x:c r="J135" s="20" t="n">
        <x:v>2</x:v>
      </x:c>
      <x:c r="K135" s="31" t="b">
        <x:v>1</x:v>
      </x:c>
      <x:c r="L135" s="29" t="b">
        <x:v>1</x:v>
      </x:c>
      <x:c r="M135" s="19" t="str"/>
    </x:row>
    <x:row r="136">
      <x:c r="A136" s="18" t="str">
        <x:v>section_width</x:v>
      </x:c>
      <x:c r="B136" s="18" t="str">
        <x:v>386</x:v>
      </x:c>
      <x:c r="C136" s="19" t="n">
        <x:v>386</x:v>
      </x:c>
      <x:c r="D136" s="18" t="n">
        <x:v>386</x:v>
      </x:c>
      <x:c r="E136" s="18" t="str">
        <x:v>386</x:v>
      </x:c>
      <x:c r="F136" s="18" t="str">
        <x:v>mm</x:v>
      </x:c>
      <x:c r="G136" s="18" t="n">
        <x:v>386</x:v>
      </x:c>
      <x:c r="H136" s="18" t="str">
        <x:v>386</x:v>
      </x:c>
      <x:c r="I136" s="18" t="n">
        <x:v>2</x:v>
      </x:c>
      <x:c r="J136" s="18" t="n">
        <x:v>2</x:v>
      </x:c>
      <x:c r="K136" s="28" t="b">
        <x:v>1</x:v>
      </x:c>
      <x:c r="L136" s="29" t="b">
        <x:v>1</x:v>
      </x:c>
      <x:c r="M136" s="19" t="str"/>
    </x:row>
    <x:row r="137">
      <x:c r="A137" s="20" t="str">
        <x:v>section_width</x:v>
      </x:c>
      <x:c r="B137" s="20" t="str">
        <x:v>389</x:v>
      </x:c>
      <x:c r="C137" s="19" t="n">
        <x:v>389</x:v>
      </x:c>
      <x:c r="D137" s="20" t="n">
        <x:v>389</x:v>
      </x:c>
      <x:c r="E137" s="20" t="str">
        <x:v>389</x:v>
      </x:c>
      <x:c r="F137" s="20" t="str">
        <x:v>mm</x:v>
      </x:c>
      <x:c r="G137" s="20" t="n">
        <x:v>389</x:v>
      </x:c>
      <x:c r="H137" s="20" t="str">
        <x:v>389</x:v>
      </x:c>
      <x:c r="I137" s="20" t="n">
        <x:v>4</x:v>
      </x:c>
      <x:c r="J137" s="20" t="n">
        <x:v>4</x:v>
      </x:c>
      <x:c r="K137" s="31" t="b">
        <x:v>1</x:v>
      </x:c>
      <x:c r="L137" s="29" t="b">
        <x:v>1</x:v>
      </x:c>
      <x:c r="M137" s="19" t="str"/>
    </x:row>
    <x:row r="138">
      <x:c r="A138" s="18" t="str">
        <x:v>section_width</x:v>
      </x:c>
      <x:c r="B138" s="18" t="str">
        <x:v>422</x:v>
      </x:c>
      <x:c r="C138" s="19" t="n">
        <x:v>422</x:v>
      </x:c>
      <x:c r="D138" s="18" t="n">
        <x:v>422</x:v>
      </x:c>
      <x:c r="E138" s="18" t="str">
        <x:v>422</x:v>
      </x:c>
      <x:c r="F138" s="18" t="str">
        <x:v>mm</x:v>
      </x:c>
      <x:c r="G138" s="18" t="n">
        <x:v>422</x:v>
      </x:c>
      <x:c r="H138" s="18" t="str">
        <x:v>422</x:v>
      </x:c>
      <x:c r="I138" s="18" t="n">
        <x:v>1</x:v>
      </x:c>
      <x:c r="J138" s="18" t="n">
        <x:v>1</x:v>
      </x:c>
      <x:c r="K138" s="28" t="b">
        <x:v>1</x:v>
      </x:c>
      <x:c r="L138" s="29" t="b">
        <x:v>1</x:v>
      </x:c>
      <x:c r="M138" s="19" t="str"/>
    </x:row>
    <x:row r="139">
      <x:c r="A139" s="20" t="str">
        <x:v>section_width</x:v>
      </x:c>
      <x:c r="B139" s="20" t="str">
        <x:v>438</x:v>
      </x:c>
      <x:c r="C139" s="19" t="n">
        <x:v>438</x:v>
      </x:c>
      <x:c r="D139" s="20" t="n">
        <x:v>438</x:v>
      </x:c>
      <x:c r="E139" s="20" t="str">
        <x:v>438</x:v>
      </x:c>
      <x:c r="F139" s="20" t="str">
        <x:v>mm</x:v>
      </x:c>
      <x:c r="G139" s="20" t="n">
        <x:v>438</x:v>
      </x:c>
      <x:c r="H139" s="20" t="str">
        <x:v>438</x:v>
      </x:c>
      <x:c r="I139" s="20" t="n">
        <x:v>1</x:v>
      </x:c>
      <x:c r="J139" s="20" t="n">
        <x:v>1</x:v>
      </x:c>
      <x:c r="K139" s="31" t="b">
        <x:v>1</x:v>
      </x:c>
      <x:c r="L139" s="29" t="b">
        <x:v>1</x:v>
      </x:c>
      <x:c r="M139" s="19" t="str"/>
    </x:row>
    <x:row r="140">
      <x:c r="A140" s="18" t="str">
        <x:v>section_width</x:v>
      </x:c>
      <x:c r="B140" s="18" t="str">
        <x:v>444</x:v>
      </x:c>
      <x:c r="C140" s="19" t="n">
        <x:v>444</x:v>
      </x:c>
      <x:c r="D140" s="18" t="n">
        <x:v>444</x:v>
      </x:c>
      <x:c r="E140" s="18" t="str">
        <x:v>444</x:v>
      </x:c>
      <x:c r="F140" s="18" t="str">
        <x:v>mm</x:v>
      </x:c>
      <x:c r="G140" s="18" t="n">
        <x:v>444</x:v>
      </x:c>
      <x:c r="H140" s="18" t="str">
        <x:v>444</x:v>
      </x:c>
      <x:c r="I140" s="18" t="n">
        <x:v>1</x:v>
      </x:c>
      <x:c r="J140" s="18" t="n">
        <x:v>1</x:v>
      </x:c>
      <x:c r="K140" s="28" t="b">
        <x:v>1</x:v>
      </x:c>
      <x:c r="L140" s="29" t="b">
        <x:v>1</x:v>
      </x:c>
      <x:c r="M140" s="19" t="str"/>
    </x:row>
    <x:row r="141">
      <x:c r="A141" s="20" t="str">
        <x:v>section_width</x:v>
      </x:c>
      <x:c r="B141" s="20" t="str">
        <x:v>446</x:v>
      </x:c>
      <x:c r="C141" s="19" t="n">
        <x:v>446</x:v>
      </x:c>
      <x:c r="D141" s="20" t="n">
        <x:v>446</x:v>
      </x:c>
      <x:c r="E141" s="20" t="str">
        <x:v>446</x:v>
      </x:c>
      <x:c r="F141" s="20" t="str">
        <x:v>mm</x:v>
      </x:c>
      <x:c r="G141" s="20" t="n">
        <x:v>446</x:v>
      </x:c>
      <x:c r="H141" s="20" t="str">
        <x:v>446</x:v>
      </x:c>
      <x:c r="I141" s="20" t="n">
        <x:v>1</x:v>
      </x:c>
      <x:c r="J141" s="20" t="n">
        <x:v>1</x:v>
      </x:c>
      <x:c r="K141" s="31" t="b">
        <x:v>1</x:v>
      </x:c>
      <x:c r="L141" s="29" t="b">
        <x:v>1</x:v>
      </x:c>
      <x:c r="M141" s="19" t="str"/>
    </x:row>
    <x:row r="142">
      <x:c r="A142" s="18" t="str">
        <x:v>speed_symbol</x:v>
      </x:c>
      <x:c r="B142" s="18" t="str">
        <x:v>b</x:v>
      </x:c>
      <x:c r="C142" s="19" t="str">
        <x:v>B</x:v>
      </x:c>
      <x:c r="D142" s="18" t="str">
        <x:v>B</x:v>
      </x:c>
      <x:c r="E142" s="18" t="str">
        <x:v>B</x:v>
      </x:c>
      <x:c r="F142" s="18" t="str"/>
      <x:c r="G142" s="18" t="str"/>
      <x:c r="H142" s="18" t="str">
        <x:v>B</x:v>
      </x:c>
      <x:c r="I142" s="18" t="n">
        <x:v>1</x:v>
      </x:c>
      <x:c r="J142" s="18" t="n">
        <x:v>1</x:v>
      </x:c>
      <x:c r="K142" s="28" t="b">
        <x:v>1</x:v>
      </x:c>
      <x:c r="L142" s="29" t="b">
        <x:v>1</x:v>
      </x:c>
      <x:c r="M142" s="19" t="str"/>
    </x:row>
    <x:row r="143">
      <x:c r="A143" s="20" t="str">
        <x:v>speed_symbol</x:v>
      </x:c>
      <x:c r="B143" s="20" t="str">
        <x:v>f</x:v>
      </x:c>
      <x:c r="C143" s="19" t="str">
        <x:v>F</x:v>
      </x:c>
      <x:c r="D143" s="20" t="str">
        <x:v>F</x:v>
      </x:c>
      <x:c r="E143" s="20" t="str">
        <x:v>F</x:v>
      </x:c>
      <x:c r="F143" s="20" t="str"/>
      <x:c r="G143" s="20" t="str"/>
      <x:c r="H143" s="20" t="str">
        <x:v>F</x:v>
      </x:c>
      <x:c r="I143" s="20" t="n">
        <x:v>1</x:v>
      </x:c>
      <x:c r="J143" s="20" t="n">
        <x:v>1</x:v>
      </x:c>
      <x:c r="K143" s="31" t="b">
        <x:v>1</x:v>
      </x:c>
      <x:c r="L143" s="29" t="b">
        <x:v>1</x:v>
      </x:c>
      <x:c r="M143" s="19" t="str"/>
    </x:row>
    <x:row r="144">
      <x:c r="A144" s="18" t="str">
        <x:v>speed_symbol</x:v>
      </x:c>
      <x:c r="B144" s="18" t="str">
        <x:v>g</x:v>
      </x:c>
      <x:c r="C144" s="19" t="str">
        <x:v>G</x:v>
      </x:c>
      <x:c r="D144" s="18" t="str">
        <x:v>G</x:v>
      </x:c>
      <x:c r="E144" s="18" t="str">
        <x:v>G</x:v>
      </x:c>
      <x:c r="F144" s="18" t="str"/>
      <x:c r="G144" s="18" t="str"/>
      <x:c r="H144" s="18" t="str">
        <x:v>G</x:v>
      </x:c>
      <x:c r="I144" s="18" t="n">
        <x:v>2</x:v>
      </x:c>
      <x:c r="J144" s="18" t="n">
        <x:v>2</x:v>
      </x:c>
      <x:c r="K144" s="28" t="b">
        <x:v>1</x:v>
      </x:c>
      <x:c r="L144" s="29" t="b">
        <x:v>1</x:v>
      </x:c>
      <x:c r="M144" s="19" t="str"/>
    </x:row>
    <x:row r="145">
      <x:c r="A145" s="20" t="str">
        <x:v>speed_symbol</x:v>
      </x:c>
      <x:c r="B145" s="20" t="str">
        <x:v>j</x:v>
      </x:c>
      <x:c r="C145" s="19" t="str">
        <x:v>J</x:v>
      </x:c>
      <x:c r="D145" s="20" t="str">
        <x:v>J</x:v>
      </x:c>
      <x:c r="E145" s="20" t="str">
        <x:v>J</x:v>
      </x:c>
      <x:c r="F145" s="20" t="str"/>
      <x:c r="G145" s="20" t="str"/>
      <x:c r="H145" s="20" t="str">
        <x:v>J</x:v>
      </x:c>
      <x:c r="I145" s="20" t="n">
        <x:v>5</x:v>
      </x:c>
      <x:c r="J145" s="20" t="n">
        <x:v>5</x:v>
      </x:c>
      <x:c r="K145" s="31" t="b">
        <x:v>1</x:v>
      </x:c>
      <x:c r="L145" s="29" t="b">
        <x:v>1</x:v>
      </x:c>
      <x:c r="M145" s="19" t="str"/>
    </x:row>
    <x:row r="146">
      <x:c r="A146" s="18" t="str">
        <x:v>speed_symbol</x:v>
      </x:c>
      <x:c r="B146" s="18" t="str">
        <x:v>k</x:v>
      </x:c>
      <x:c r="C146" s="19" t="str">
        <x:v>K</x:v>
      </x:c>
      <x:c r="D146" s="18" t="str">
        <x:v>K</x:v>
      </x:c>
      <x:c r="E146" s="18" t="str">
        <x:v>K</x:v>
      </x:c>
      <x:c r="F146" s="18" t="str"/>
      <x:c r="G146" s="18" t="str"/>
      <x:c r="H146" s="18" t="str">
        <x:v>K</x:v>
      </x:c>
      <x:c r="I146" s="18" t="n">
        <x:v>14</x:v>
      </x:c>
      <x:c r="J146" s="18" t="n">
        <x:v>8</x:v>
      </x:c>
      <x:c r="K146" s="28" t="b">
        <x:v>1</x:v>
      </x:c>
      <x:c r="L146" s="29" t="b">
        <x:v>1</x:v>
      </x:c>
      <x:c r="M146" s="19" t="str"/>
    </x:row>
    <x:row r="147">
      <x:c r="A147" s="20" t="str">
        <x:v>speed_symbol</x:v>
      </x:c>
      <x:c r="B147" s="20" t="str">
        <x:v>l</x:v>
      </x:c>
      <x:c r="C147" s="19" t="str">
        <x:v>L</x:v>
      </x:c>
      <x:c r="D147" s="20" t="str">
        <x:v>L</x:v>
      </x:c>
      <x:c r="E147" s="20" t="str">
        <x:v>L</x:v>
      </x:c>
      <x:c r="F147" s="20" t="str"/>
      <x:c r="G147" s="20" t="str"/>
      <x:c r="H147" s="20" t="str">
        <x:v>L</x:v>
      </x:c>
      <x:c r="I147" s="20" t="n">
        <x:v>19</x:v>
      </x:c>
      <x:c r="J147" s="20" t="n">
        <x:v>9</x:v>
      </x:c>
      <x:c r="K147" s="31" t="b">
        <x:v>1</x:v>
      </x:c>
      <x:c r="L147" s="29" t="b">
        <x:v>1</x:v>
      </x:c>
      <x:c r="M147" s="19" t="str"/>
    </x:row>
    <x:row r="148">
      <x:c r="A148" s="18" t="str">
        <x:v>speed_symbol</x:v>
      </x:c>
      <x:c r="B148" s="18" t="str">
        <x:v>m</x:v>
      </x:c>
      <x:c r="C148" s="19" t="str">
        <x:v>M</x:v>
      </x:c>
      <x:c r="D148" s="18" t="str">
        <x:v>M</x:v>
      </x:c>
      <x:c r="E148" s="18" t="str">
        <x:v>M</x:v>
      </x:c>
      <x:c r="F148" s="18" t="str"/>
      <x:c r="G148" s="18" t="str"/>
      <x:c r="H148" s="18" t="str">
        <x:v>M</x:v>
      </x:c>
      <x:c r="I148" s="18" t="n">
        <x:v>6</x:v>
      </x:c>
      <x:c r="J148" s="18" t="n">
        <x:v>4</x:v>
      </x:c>
      <x:c r="K148" s="28" t="b">
        <x:v>1</x:v>
      </x:c>
      <x:c r="L148" s="29" t="b">
        <x:v>1</x:v>
      </x:c>
      <x:c r="M148" s="19" t="str"/>
    </x:row>
    <x:row r="149">
      <x:c r="A149" s="20" t="str">
        <x:v>standard_rim</x:v>
      </x:c>
      <x:c r="B149" s="20" t="str">
        <x:v>6</x:v>
      </x:c>
      <x:c r="C149" s="19" t="n">
        <x:v>6</x:v>
      </x:c>
      <x:c r="D149" s="20" t="n">
        <x:v>6</x:v>
      </x:c>
      <x:c r="E149" s="20" t="str">
        <x:v>6</x:v>
      </x:c>
      <x:c r="F149" s="20" t="str">
        <x:v>inch</x:v>
      </x:c>
      <x:c r="G149" s="20" t="n">
        <x:v>6</x:v>
      </x:c>
      <x:c r="H149" s="20" t="str">
        <x:v>6</x:v>
      </x:c>
      <x:c r="I149" s="20" t="n">
        <x:v>2</x:v>
      </x:c>
      <x:c r="J149" s="20" t="n">
        <x:v>2</x:v>
      </x:c>
      <x:c r="K149" s="31" t="b">
        <x:v>1</x:v>
      </x:c>
      <x:c r="L149" s="29" t="b">
        <x:v>1</x:v>
      </x:c>
      <x:c r="M149" s="19" t="str"/>
    </x:row>
    <x:row r="150">
      <x:c r="A150" s="18" t="str">
        <x:v>standard_rim</x:v>
      </x:c>
      <x:c r="B150" s="18" t="str">
        <x:v>6-75</x:v>
      </x:c>
      <x:c r="C150" s="19" t="n">
        <x:v>6.75</x:v>
      </x:c>
      <x:c r="D150" s="18" t="n">
        <x:v>6.75</x:v>
      </x:c>
      <x:c r="E150" s="18" t="str">
        <x:v>6.75</x:v>
      </x:c>
      <x:c r="F150" s="18" t="str">
        <x:v>inch</x:v>
      </x:c>
      <x:c r="G150" s="18" t="n">
        <x:v>6.75</x:v>
      </x:c>
      <x:c r="H150" s="18" t="str">
        <x:v>6.75</x:v>
      </x:c>
      <x:c r="I150" s="18" t="n">
        <x:v>3</x:v>
      </x:c>
      <x:c r="J150" s="18" t="n">
        <x:v>2</x:v>
      </x:c>
      <x:c r="K150" s="28" t="b">
        <x:v>1</x:v>
      </x:c>
      <x:c r="L150" s="29" t="b">
        <x:v>1</x:v>
      </x:c>
      <x:c r="M150" s="19" t="str"/>
    </x:row>
    <x:row r="151">
      <x:c r="A151" s="20" t="str">
        <x:v>standard_rim</x:v>
      </x:c>
      <x:c r="B151" s="20" t="str">
        <x:v>7-5</x:v>
      </x:c>
      <x:c r="C151" s="19" t="n">
        <x:v>7.5</x:v>
      </x:c>
      <x:c r="D151" s="20" t="n">
        <x:v>7.5</x:v>
      </x:c>
      <x:c r="E151" s="20" t="str">
        <x:v>7.5</x:v>
      </x:c>
      <x:c r="F151" s="20" t="str">
        <x:v>inch</x:v>
      </x:c>
      <x:c r="G151" s="20" t="n">
        <x:v>7.5</x:v>
      </x:c>
      <x:c r="H151" s="20" t="str">
        <x:v>7.5</x:v>
      </x:c>
      <x:c r="I151" s="20" t="n">
        <x:v>3</x:v>
      </x:c>
      <x:c r="J151" s="20" t="n">
        <x:v>2</x:v>
      </x:c>
      <x:c r="K151" s="31" t="b">
        <x:v>1</x:v>
      </x:c>
      <x:c r="L151" s="29" t="b">
        <x:v>1</x:v>
      </x:c>
      <x:c r="M151" s="19" t="str"/>
    </x:row>
    <x:row r="152">
      <x:c r="A152" s="18" t="str">
        <x:v>standard_rim</x:v>
      </x:c>
      <x:c r="B152" s="18" t="str">
        <x:v>8-25</x:v>
      </x:c>
      <x:c r="C152" s="19" t="n">
        <x:v>8.25</x:v>
      </x:c>
      <x:c r="D152" s="18" t="n">
        <x:v>8.25</x:v>
      </x:c>
      <x:c r="E152" s="18" t="str">
        <x:v>8.25</x:v>
      </x:c>
      <x:c r="F152" s="18" t="str">
        <x:v>inch</x:v>
      </x:c>
      <x:c r="G152" s="18" t="n">
        <x:v>8.25</x:v>
      </x:c>
      <x:c r="H152" s="18" t="str">
        <x:v>8.25</x:v>
      </x:c>
      <x:c r="I152" s="18" t="n">
        <x:v>2</x:v>
      </x:c>
      <x:c r="J152" s="18" t="n">
        <x:v>2</x:v>
      </x:c>
      <x:c r="K152" s="28" t="b">
        <x:v>1</x:v>
      </x:c>
      <x:c r="L152" s="29" t="b">
        <x:v>1</x:v>
      </x:c>
      <x:c r="M152" s="19" t="str"/>
    </x:row>
    <x:row r="153">
      <x:c r="A153" s="20" t="str">
        <x:v>standard_rim</x:v>
      </x:c>
      <x:c r="B153" s="20" t="str">
        <x:v>8-5</x:v>
      </x:c>
      <x:c r="C153" s="19" t="n">
        <x:v>8.5</x:v>
      </x:c>
      <x:c r="D153" s="20" t="n">
        <x:v>8.5</x:v>
      </x:c>
      <x:c r="E153" s="20" t="str">
        <x:v>8.5</x:v>
      </x:c>
      <x:c r="F153" s="20" t="str">
        <x:v>inch</x:v>
      </x:c>
      <x:c r="G153" s="20" t="n">
        <x:v>8.5</x:v>
      </x:c>
      <x:c r="H153" s="20" t="str">
        <x:v>8.5</x:v>
      </x:c>
      <x:c r="I153" s="20" t="n">
        <x:v>6</x:v>
      </x:c>
      <x:c r="J153" s="20" t="n">
        <x:v>5</x:v>
      </x:c>
      <x:c r="K153" s="31" t="b">
        <x:v>1</x:v>
      </x:c>
      <x:c r="L153" s="29" t="b">
        <x:v>1</x:v>
      </x:c>
      <x:c r="M153" s="19" t="str"/>
    </x:row>
    <x:row r="154">
      <x:c r="A154" s="18" t="str">
        <x:v>standard_rim</x:v>
      </x:c>
      <x:c r="B154" s="18" t="str">
        <x:v>9</x:v>
      </x:c>
      <x:c r="C154" s="19" t="n">
        <x:v>9</x:v>
      </x:c>
      <x:c r="D154" s="18" t="n">
        <x:v>9</x:v>
      </x:c>
      <x:c r="E154" s="18" t="str">
        <x:v>9</x:v>
      </x:c>
      <x:c r="F154" s="18" t="str">
        <x:v>inch</x:v>
      </x:c>
      <x:c r="G154" s="18" t="n">
        <x:v>9</x:v>
      </x:c>
      <x:c r="H154" s="18" t="str">
        <x:v>9</x:v>
      </x:c>
      <x:c r="I154" s="18" t="n">
        <x:v>18</x:v>
      </x:c>
      <x:c r="J154" s="18" t="n">
        <x:v>12</x:v>
      </x:c>
      <x:c r="K154" s="28" t="b">
        <x:v>1</x:v>
      </x:c>
      <x:c r="L154" s="29" t="b">
        <x:v>1</x:v>
      </x:c>
      <x:c r="M154" s="19" t="str"/>
    </x:row>
    <x:row r="155">
      <x:c r="A155" s="20" t="str">
        <x:v>standard_rim</x:v>
      </x:c>
      <x:c r="B155" s="20" t="str">
        <x:v>9-75</x:v>
      </x:c>
      <x:c r="C155" s="19" t="n">
        <x:v>9.75</x:v>
      </x:c>
      <x:c r="D155" s="20" t="n">
        <x:v>9.75</x:v>
      </x:c>
      <x:c r="E155" s="20" t="str">
        <x:v>9.75</x:v>
      </x:c>
      <x:c r="F155" s="20" t="str">
        <x:v>inch</x:v>
      </x:c>
      <x:c r="G155" s="20" t="n">
        <x:v>9.75</x:v>
      </x:c>
      <x:c r="H155" s="20" t="str">
        <x:v>9.75</x:v>
      </x:c>
      <x:c r="I155" s="20" t="n">
        <x:v>4</x:v>
      </x:c>
      <x:c r="J155" s="20" t="n">
        <x:v>4</x:v>
      </x:c>
      <x:c r="K155" s="31" t="b">
        <x:v>1</x:v>
      </x:c>
      <x:c r="L155" s="29" t="b">
        <x:v>1</x:v>
      </x:c>
      <x:c r="M155" s="19" t="str"/>
    </x:row>
    <x:row r="156">
      <x:c r="A156" s="18" t="str">
        <x:v>standard_rim</x:v>
      </x:c>
      <x:c r="B156" s="18" t="str">
        <x:v>11-75</x:v>
      </x:c>
      <x:c r="C156" s="19" t="n">
        <x:v>11.75</x:v>
      </x:c>
      <x:c r="D156" s="18" t="n">
        <x:v>11.75</x:v>
      </x:c>
      <x:c r="E156" s="18" t="str">
        <x:v>11.75</x:v>
      </x:c>
      <x:c r="F156" s="18" t="str">
        <x:v>inch</x:v>
      </x:c>
      <x:c r="G156" s="18" t="n">
        <x:v>11.75</x:v>
      </x:c>
      <x:c r="H156" s="18" t="str">
        <x:v>11.75</x:v>
      </x:c>
      <x:c r="I156" s="18" t="n">
        <x:v>4</x:v>
      </x:c>
      <x:c r="J156" s="18" t="n">
        <x:v>4</x:v>
      </x:c>
      <x:c r="K156" s="28" t="b">
        <x:v>1</x:v>
      </x:c>
      <x:c r="L156" s="29" t="b">
        <x:v>1</x:v>
      </x:c>
      <x:c r="M156" s="19" t="str"/>
    </x:row>
    <x:row r="157">
      <x:c r="A157" s="20" t="str">
        <x:v>standard_rim</x:v>
      </x:c>
      <x:c r="B157" s="20" t="str">
        <x:v>12-25</x:v>
      </x:c>
      <x:c r="C157" s="19" t="n">
        <x:v>12.25</x:v>
      </x:c>
      <x:c r="D157" s="20" t="n">
        <x:v>12.25</x:v>
      </x:c>
      <x:c r="E157" s="20" t="str">
        <x:v>12.25</x:v>
      </x:c>
      <x:c r="F157" s="20" t="str">
        <x:v>inch</x:v>
      </x:c>
      <x:c r="G157" s="20" t="n">
        <x:v>12.25</x:v>
      </x:c>
      <x:c r="H157" s="20" t="str">
        <x:v>12.25</x:v>
      </x:c>
      <x:c r="I157" s="20" t="n">
        <x:v>3</x:v>
      </x:c>
      <x:c r="J157" s="20" t="n">
        <x:v>3</x:v>
      </x:c>
      <x:c r="K157" s="31" t="b">
        <x:v>1</x:v>
      </x:c>
      <x:c r="L157" s="29" t="b">
        <x:v>1</x:v>
      </x:c>
      <x:c r="M157" s="19" t="str"/>
    </x:row>
    <x:row r="158">
      <x:c r="A158" s="18" t="str">
        <x:v>standard_rim</x:v>
      </x:c>
      <x:c r="B158" s="18" t="str">
        <x:v>13</x:v>
      </x:c>
      <x:c r="C158" s="19" t="n">
        <x:v>13</x:v>
      </x:c>
      <x:c r="D158" s="18" t="n">
        <x:v>13</x:v>
      </x:c>
      <x:c r="E158" s="18" t="str">
        <x:v>13</x:v>
      </x:c>
      <x:c r="F158" s="18" t="str">
        <x:v>inch</x:v>
      </x:c>
      <x:c r="G158" s="18" t="n">
        <x:v>13</x:v>
      </x:c>
      <x:c r="H158" s="18" t="str">
        <x:v>13</x:v>
      </x:c>
      <x:c r="I158" s="18" t="n">
        <x:v>1</x:v>
      </x:c>
      <x:c r="J158" s="18" t="n">
        <x:v>1</x:v>
      </x:c>
      <x:c r="K158" s="28" t="b">
        <x:v>1</x:v>
      </x:c>
      <x:c r="L158" s="29" t="b">
        <x:v>1</x:v>
      </x:c>
      <x:c r="M158" s="19" t="str"/>
    </x:row>
    <x:row r="159">
      <x:c r="A159" s="20" t="str">
        <x:v>standard_rim</x:v>
      </x:c>
      <x:c r="B159" s="20" t="str">
        <x:v>14</x:v>
      </x:c>
      <x:c r="C159" s="19" t="n">
        <x:v>14</x:v>
      </x:c>
      <x:c r="D159" s="20" t="n">
        <x:v>14</x:v>
      </x:c>
      <x:c r="E159" s="20" t="str">
        <x:v>14</x:v>
      </x:c>
      <x:c r="F159" s="20" t="str">
        <x:v>inch</x:v>
      </x:c>
      <x:c r="G159" s="20" t="n">
        <x:v>14</x:v>
      </x:c>
      <x:c r="H159" s="20" t="str">
        <x:v>14</x:v>
      </x:c>
      <x:c r="I159" s="20" t="n">
        <x:v>1</x:v>
      </x:c>
      <x:c r="J159" s="20" t="n">
        <x:v>1</x:v>
      </x:c>
      <x:c r="K159" s="31" t="b">
        <x:v>1</x:v>
      </x:c>
      <x:c r="L159" s="29" t="b">
        <x:v>1</x:v>
      </x:c>
      <x:c r="M159" s="19" t="str"/>
    </x:row>
    <x:row r="160">
      <x:c r="A160" s="18" t="str">
        <x:v>standard_rim</x:v>
      </x:c>
      <x:c r="B160" s="18" t="str">
        <x:v>15</x:v>
      </x:c>
      <x:c r="C160" s="19" t="n">
        <x:v>15</x:v>
      </x:c>
      <x:c r="D160" s="18" t="n">
        <x:v>15</x:v>
      </x:c>
      <x:c r="E160" s="18" t="str">
        <x:v>15</x:v>
      </x:c>
      <x:c r="F160" s="18" t="str">
        <x:v>inch</x:v>
      </x:c>
      <x:c r="G160" s="18" t="n">
        <x:v>15</x:v>
      </x:c>
      <x:c r="H160" s="18" t="str">
        <x:v>15</x:v>
      </x:c>
      <x:c r="I160" s="18" t="n">
        <x:v>1</x:v>
      </x:c>
      <x:c r="J160" s="18" t="n">
        <x:v>1</x:v>
      </x:c>
      <x:c r="K160" s="28" t="b">
        <x:v>1</x:v>
      </x:c>
      <x:c r="L160" s="29" t="b">
        <x:v>1</x:v>
      </x:c>
      <x:c r="M160" s="19" t="str"/>
    </x:row>
    <x:row r="161">
      <x:c r="A161" s="20" t="str">
        <x:v>tread_depth</x:v>
      </x:c>
      <x:c r="B161" s="20" t="str">
        <x:v>13</x:v>
      </x:c>
      <x:c r="C161" s="19" t="n">
        <x:v>13</x:v>
      </x:c>
      <x:c r="D161" s="20" t="n">
        <x:v>13</x:v>
      </x:c>
      <x:c r="E161" s="20" t="str">
        <x:v>13</x:v>
      </x:c>
      <x:c r="F161" s="20" t="str">
        <x:v>mm</x:v>
      </x:c>
      <x:c r="G161" s="20" t="n">
        <x:v>13</x:v>
      </x:c>
      <x:c r="H161" s="20" t="str">
        <x:v>13</x:v>
      </x:c>
      <x:c r="I161" s="20" t="n">
        <x:v>4</x:v>
      </x:c>
      <x:c r="J161" s="20" t="n">
        <x:v>2</x:v>
      </x:c>
      <x:c r="K161" s="31" t="b">
        <x:v>1</x:v>
      </x:c>
      <x:c r="L161" s="29" t="b">
        <x:v>1</x:v>
      </x:c>
      <x:c r="M161" s="19" t="str"/>
    </x:row>
    <x:row r="162">
      <x:c r="A162" s="18" t="str">
        <x:v>tread_depth</x:v>
      </x:c>
      <x:c r="B162" s="18" t="str">
        <x:v>13-5</x:v>
      </x:c>
      <x:c r="C162" s="19" t="n">
        <x:v>13.5</x:v>
      </x:c>
      <x:c r="D162" s="18" t="n">
        <x:v>13.5</x:v>
      </x:c>
      <x:c r="E162" s="18" t="str">
        <x:v>13.5</x:v>
      </x:c>
      <x:c r="F162" s="18" t="str">
        <x:v>mm</x:v>
      </x:c>
      <x:c r="G162" s="18" t="n">
        <x:v>13.5</x:v>
      </x:c>
      <x:c r="H162" s="18" t="str">
        <x:v>13.5</x:v>
      </x:c>
      <x:c r="I162" s="18" t="n">
        <x:v>2</x:v>
      </x:c>
      <x:c r="J162" s="18" t="n">
        <x:v>2</x:v>
      </x:c>
      <x:c r="K162" s="28" t="b">
        <x:v>1</x:v>
      </x:c>
      <x:c r="L162" s="29" t="b">
        <x:v>1</x:v>
      </x:c>
      <x:c r="M162" s="19" t="str"/>
    </x:row>
    <x:row r="163">
      <x:c r="A163" s="20" t="str">
        <x:v>tread_depth</x:v>
      </x:c>
      <x:c r="B163" s="20" t="str">
        <x:v>14</x:v>
      </x:c>
      <x:c r="C163" s="19" t="n">
        <x:v>14</x:v>
      </x:c>
      <x:c r="D163" s="20" t="n">
        <x:v>14</x:v>
      </x:c>
      <x:c r="E163" s="20" t="str">
        <x:v>14</x:v>
      </x:c>
      <x:c r="F163" s="20" t="str">
        <x:v>mm</x:v>
      </x:c>
      <x:c r="G163" s="20" t="n">
        <x:v>14</x:v>
      </x:c>
      <x:c r="H163" s="20" t="str">
        <x:v>14</x:v>
      </x:c>
      <x:c r="I163" s="20" t="n">
        <x:v>3</x:v>
      </x:c>
      <x:c r="J163" s="20" t="n">
        <x:v>2</x:v>
      </x:c>
      <x:c r="K163" s="31" t="b">
        <x:v>1</x:v>
      </x:c>
      <x:c r="L163" s="29" t="b">
        <x:v>1</x:v>
      </x:c>
      <x:c r="M163" s="19" t="str"/>
    </x:row>
    <x:row r="164">
      <x:c r="A164" s="18" t="str">
        <x:v>tread_depth</x:v>
      </x:c>
      <x:c r="B164" s="18" t="str">
        <x:v>14-5</x:v>
      </x:c>
      <x:c r="C164" s="19" t="n">
        <x:v>14.5</x:v>
      </x:c>
      <x:c r="D164" s="18" t="n">
        <x:v>14.5</x:v>
      </x:c>
      <x:c r="E164" s="18" t="str">
        <x:v>14.5</x:v>
      </x:c>
      <x:c r="F164" s="18" t="str">
        <x:v>mm</x:v>
      </x:c>
      <x:c r="G164" s="18" t="n">
        <x:v>14.5</x:v>
      </x:c>
      <x:c r="H164" s="18" t="str">
        <x:v>14.5</x:v>
      </x:c>
      <x:c r="I164" s="18" t="n">
        <x:v>1</x:v>
      </x:c>
      <x:c r="J164" s="18" t="n">
        <x:v>1</x:v>
      </x:c>
      <x:c r="K164" s="28" t="b">
        <x:v>1</x:v>
      </x:c>
      <x:c r="L164" s="29" t="b">
        <x:v>1</x:v>
      </x:c>
      <x:c r="M164" s="19" t="str"/>
    </x:row>
    <x:row r="165">
      <x:c r="A165" s="20" t="str">
        <x:v>tread_depth</x:v>
      </x:c>
      <x:c r="B165" s="20" t="str">
        <x:v>15</x:v>
      </x:c>
      <x:c r="C165" s="19" t="n">
        <x:v>15</x:v>
      </x:c>
      <x:c r="D165" s="20" t="n">
        <x:v>15</x:v>
      </x:c>
      <x:c r="E165" s="20" t="str">
        <x:v>15</x:v>
      </x:c>
      <x:c r="F165" s="20" t="str">
        <x:v>mm</x:v>
      </x:c>
      <x:c r="G165" s="20" t="n">
        <x:v>15</x:v>
      </x:c>
      <x:c r="H165" s="20" t="str">
        <x:v>15</x:v>
      </x:c>
      <x:c r="I165" s="20" t="n">
        <x:v>5</x:v>
      </x:c>
      <x:c r="J165" s="20" t="n">
        <x:v>4</x:v>
      </x:c>
      <x:c r="K165" s="31" t="b">
        <x:v>1</x:v>
      </x:c>
      <x:c r="L165" s="29" t="b">
        <x:v>1</x:v>
      </x:c>
      <x:c r="M165" s="19" t="str"/>
    </x:row>
    <x:row r="166">
      <x:c r="A166" s="18" t="str">
        <x:v>tread_depth</x:v>
      </x:c>
      <x:c r="B166" s="18" t="str">
        <x:v>15-1</x:v>
      </x:c>
      <x:c r="C166" s="19" t="n">
        <x:v>15.1</x:v>
      </x:c>
      <x:c r="D166" s="18" t="n">
        <x:v>15.1</x:v>
      </x:c>
      <x:c r="E166" s="18" t="str">
        <x:v>15.1</x:v>
      </x:c>
      <x:c r="F166" s="18" t="str">
        <x:v>mm</x:v>
      </x:c>
      <x:c r="G166" s="18" t="n">
        <x:v>15.1</x:v>
      </x:c>
      <x:c r="H166" s="18" t="str">
        <x:v>15.1</x:v>
      </x:c>
      <x:c r="I166" s="18" t="n">
        <x:v>1</x:v>
      </x:c>
      <x:c r="J166" s="18" t="n">
        <x:v>1</x:v>
      </x:c>
      <x:c r="K166" s="28" t="b">
        <x:v>1</x:v>
      </x:c>
      <x:c r="L166" s="29" t="b">
        <x:v>1</x:v>
      </x:c>
      <x:c r="M166" s="19" t="str"/>
    </x:row>
    <x:row r="167">
      <x:c r="A167" s="20" t="str">
        <x:v>tread_depth</x:v>
      </x:c>
      <x:c r="B167" s="20" t="str">
        <x:v>15-3</x:v>
      </x:c>
      <x:c r="C167" s="19" t="n">
        <x:v>15.3</x:v>
      </x:c>
      <x:c r="D167" s="20" t="n">
        <x:v>15.3</x:v>
      </x:c>
      <x:c r="E167" s="20" t="str">
        <x:v>15.3</x:v>
      </x:c>
      <x:c r="F167" s="20" t="str">
        <x:v>mm</x:v>
      </x:c>
      <x:c r="G167" s="20" t="n">
        <x:v>15.3</x:v>
      </x:c>
      <x:c r="H167" s="20" t="str">
        <x:v>15.3</x:v>
      </x:c>
      <x:c r="I167" s="20" t="n">
        <x:v>2</x:v>
      </x:c>
      <x:c r="J167" s="20" t="n">
        <x:v>2</x:v>
      </x:c>
      <x:c r="K167" s="31" t="b">
        <x:v>1</x:v>
      </x:c>
      <x:c r="L167" s="29" t="b">
        <x:v>1</x:v>
      </x:c>
      <x:c r="M167" s="19" t="str"/>
    </x:row>
    <x:row r="168">
      <x:c r="A168" s="18" t="str">
        <x:v>tread_depth</x:v>
      </x:c>
      <x:c r="B168" s="18" t="str">
        <x:v>15-5</x:v>
      </x:c>
      <x:c r="C168" s="19" t="n">
        <x:v>15.5</x:v>
      </x:c>
      <x:c r="D168" s="18" t="n">
        <x:v>15.5</x:v>
      </x:c>
      <x:c r="E168" s="18" t="str">
        <x:v>15.5</x:v>
      </x:c>
      <x:c r="F168" s="18" t="str">
        <x:v>mm</x:v>
      </x:c>
      <x:c r="G168" s="18" t="n">
        <x:v>15.5</x:v>
      </x:c>
      <x:c r="H168" s="18" t="str">
        <x:v>15.5</x:v>
      </x:c>
      <x:c r="I168" s="18" t="n">
        <x:v>2</x:v>
      </x:c>
      <x:c r="J168" s="18" t="n">
        <x:v>2</x:v>
      </x:c>
      <x:c r="K168" s="28" t="b">
        <x:v>1</x:v>
      </x:c>
      <x:c r="L168" s="29" t="b">
        <x:v>1</x:v>
      </x:c>
      <x:c r="M168" s="19" t="str"/>
    </x:row>
    <x:row r="169">
      <x:c r="A169" s="20" t="str">
        <x:v>tread_depth</x:v>
      </x:c>
      <x:c r="B169" s="20" t="str">
        <x:v>16</x:v>
      </x:c>
      <x:c r="C169" s="19" t="n">
        <x:v>16</x:v>
      </x:c>
      <x:c r="D169" s="20" t="n">
        <x:v>16</x:v>
      </x:c>
      <x:c r="E169" s="20" t="str">
        <x:v>16</x:v>
      </x:c>
      <x:c r="F169" s="20" t="str">
        <x:v>mm</x:v>
      </x:c>
      <x:c r="G169" s="20" t="n">
        <x:v>16</x:v>
      </x:c>
      <x:c r="H169" s="20" t="str">
        <x:v>16</x:v>
      </x:c>
      <x:c r="I169" s="20" t="n">
        <x:v>4</x:v>
      </x:c>
      <x:c r="J169" s="20" t="n">
        <x:v>2</x:v>
      </x:c>
      <x:c r="K169" s="31" t="b">
        <x:v>1</x:v>
      </x:c>
      <x:c r="L169" s="29" t="b">
        <x:v>1</x:v>
      </x:c>
      <x:c r="M169" s="19" t="str"/>
    </x:row>
    <x:row r="170">
      <x:c r="A170" s="18" t="str">
        <x:v>tread_depth</x:v>
      </x:c>
      <x:c r="B170" s="18" t="str">
        <x:v>16-5</x:v>
      </x:c>
      <x:c r="C170" s="19" t="n">
        <x:v>16.5</x:v>
      </x:c>
      <x:c r="D170" s="18" t="n">
        <x:v>16.5</x:v>
      </x:c>
      <x:c r="E170" s="18" t="str">
        <x:v>16.5</x:v>
      </x:c>
      <x:c r="F170" s="18" t="str">
        <x:v>mm</x:v>
      </x:c>
      <x:c r="G170" s="18" t="n">
        <x:v>16.5</x:v>
      </x:c>
      <x:c r="H170" s="18" t="str">
        <x:v>16.5</x:v>
      </x:c>
      <x:c r="I170" s="18" t="n">
        <x:v>1</x:v>
      </x:c>
      <x:c r="J170" s="18" t="n">
        <x:v>1</x:v>
      </x:c>
      <x:c r="K170" s="28" t="b">
        <x:v>1</x:v>
      </x:c>
      <x:c r="L170" s="29" t="b">
        <x:v>1</x:v>
      </x:c>
      <x:c r="M170" s="19" t="str"/>
    </x:row>
    <x:row r="171">
      <x:c r="A171" s="20" t="str">
        <x:v>tread_depth</x:v>
      </x:c>
      <x:c r="B171" s="20" t="str">
        <x:v>17-5</x:v>
      </x:c>
      <x:c r="C171" s="19" t="n">
        <x:v>17.5</x:v>
      </x:c>
      <x:c r="D171" s="20" t="n">
        <x:v>17.5</x:v>
      </x:c>
      <x:c r="E171" s="20" t="str">
        <x:v>17.5</x:v>
      </x:c>
      <x:c r="F171" s="20" t="str">
        <x:v>mm</x:v>
      </x:c>
      <x:c r="G171" s="20" t="n">
        <x:v>17.5</x:v>
      </x:c>
      <x:c r="H171" s="20" t="str">
        <x:v>17.5</x:v>
      </x:c>
      <x:c r="I171" s="20" t="n">
        <x:v>3</x:v>
      </x:c>
      <x:c r="J171" s="20" t="n">
        <x:v>2</x:v>
      </x:c>
      <x:c r="K171" s="31" t="b">
        <x:v>1</x:v>
      </x:c>
      <x:c r="L171" s="29" t="b">
        <x:v>1</x:v>
      </x:c>
      <x:c r="M171" s="19" t="str"/>
    </x:row>
    <x:row r="172">
      <x:c r="A172" s="18" t="str">
        <x:v>tread_depth</x:v>
      </x:c>
      <x:c r="B172" s="18" t="str">
        <x:v>18</x:v>
      </x:c>
      <x:c r="C172" s="19" t="n">
        <x:v>18</x:v>
      </x:c>
      <x:c r="D172" s="18" t="n">
        <x:v>18</x:v>
      </x:c>
      <x:c r="E172" s="18" t="str">
        <x:v>18</x:v>
      </x:c>
      <x:c r="F172" s="18" t="str">
        <x:v>mm</x:v>
      </x:c>
      <x:c r="G172" s="18" t="n">
        <x:v>18</x:v>
      </x:c>
      <x:c r="H172" s="18" t="str">
        <x:v>18</x:v>
      </x:c>
      <x:c r="I172" s="18" t="n">
        <x:v>7</x:v>
      </x:c>
      <x:c r="J172" s="18" t="n">
        <x:v>4</x:v>
      </x:c>
      <x:c r="K172" s="28" t="b">
        <x:v>1</x:v>
      </x:c>
      <x:c r="L172" s="29" t="b">
        <x:v>1</x:v>
      </x:c>
      <x:c r="M172" s="19" t="str"/>
    </x:row>
    <x:row r="173">
      <x:c r="A173" s="20" t="str">
        <x:v>tread_depth</x:v>
      </x:c>
      <x:c r="B173" s="20" t="str">
        <x:v>18-5</x:v>
      </x:c>
      <x:c r="C173" s="19" t="n">
        <x:v>18.5</x:v>
      </x:c>
      <x:c r="D173" s="20" t="n">
        <x:v>18.5</x:v>
      </x:c>
      <x:c r="E173" s="20" t="str">
        <x:v>18.5</x:v>
      </x:c>
      <x:c r="F173" s="20" t="str">
        <x:v>mm</x:v>
      </x:c>
      <x:c r="G173" s="20" t="n">
        <x:v>18.5</x:v>
      </x:c>
      <x:c r="H173" s="20" t="str">
        <x:v>18.5</x:v>
      </x:c>
      <x:c r="I173" s="20" t="n">
        <x:v>4</x:v>
      </x:c>
      <x:c r="J173" s="20" t="n">
        <x:v>3</x:v>
      </x:c>
      <x:c r="K173" s="31" t="b">
        <x:v>1</x:v>
      </x:c>
      <x:c r="L173" s="29" t="b">
        <x:v>1</x:v>
      </x:c>
      <x:c r="M173" s="19" t="str"/>
    </x:row>
    <x:row r="174">
      <x:c r="A174" s="18" t="str">
        <x:v>tread_depth</x:v>
      </x:c>
      <x:c r="B174" s="18" t="str">
        <x:v>19</x:v>
      </x:c>
      <x:c r="C174" s="19" t="n">
        <x:v>19</x:v>
      </x:c>
      <x:c r="D174" s="18" t="n">
        <x:v>19</x:v>
      </x:c>
      <x:c r="E174" s="18" t="str">
        <x:v>19</x:v>
      </x:c>
      <x:c r="F174" s="18" t="str">
        <x:v>mm</x:v>
      </x:c>
      <x:c r="G174" s="18" t="n">
        <x:v>19</x:v>
      </x:c>
      <x:c r="H174" s="18" t="str">
        <x:v>19</x:v>
      </x:c>
      <x:c r="I174" s="18" t="n">
        <x:v>1</x:v>
      </x:c>
      <x:c r="J174" s="18" t="n">
        <x:v>1</x:v>
      </x:c>
      <x:c r="K174" s="28" t="b">
        <x:v>1</x:v>
      </x:c>
      <x:c r="L174" s="29" t="b">
        <x:v>1</x:v>
      </x:c>
      <x:c r="M174" s="19" t="str"/>
    </x:row>
    <x:row r="175">
      <x:c r="A175" s="20" t="str">
        <x:v>tread_depth</x:v>
      </x:c>
      <x:c r="B175" s="20" t="str">
        <x:v>21</x:v>
      </x:c>
      <x:c r="C175" s="19" t="n">
        <x:v>21</x:v>
      </x:c>
      <x:c r="D175" s="20" t="n">
        <x:v>21</x:v>
      </x:c>
      <x:c r="E175" s="20" t="str">
        <x:v>21</x:v>
      </x:c>
      <x:c r="F175" s="20" t="str">
        <x:v>mm</x:v>
      </x:c>
      <x:c r="G175" s="20" t="n">
        <x:v>21</x:v>
      </x:c>
      <x:c r="H175" s="20" t="str">
        <x:v>21</x:v>
      </x:c>
      <x:c r="I175" s="20" t="n">
        <x:v>4</x:v>
      </x:c>
      <x:c r="J175" s="20" t="n">
        <x:v>3</x:v>
      </x:c>
      <x:c r="K175" s="31" t="b">
        <x:v>1</x:v>
      </x:c>
      <x:c r="L175" s="29" t="b">
        <x:v>1</x:v>
      </x:c>
      <x:c r="M175" s="19" t="str"/>
    </x:row>
    <x:row r="176">
      <x:c r="A176" s="18" t="str">
        <x:v>tread_depth</x:v>
      </x:c>
      <x:c r="B176" s="18" t="str">
        <x:v>22</x:v>
      </x:c>
      <x:c r="C176" s="19" t="n">
        <x:v>22</x:v>
      </x:c>
      <x:c r="D176" s="18" t="n">
        <x:v>22</x:v>
      </x:c>
      <x:c r="E176" s="18" t="str">
        <x:v>22</x:v>
      </x:c>
      <x:c r="F176" s="18" t="str">
        <x:v>mm</x:v>
      </x:c>
      <x:c r="G176" s="18" t="n">
        <x:v>22</x:v>
      </x:c>
      <x:c r="H176" s="18" t="str">
        <x:v>22</x:v>
      </x:c>
      <x:c r="I176" s="18" t="n">
        <x:v>2</x:v>
      </x:c>
      <x:c r="J176" s="18" t="n">
        <x:v>2</x:v>
      </x:c>
      <x:c r="K176" s="28" t="b">
        <x:v>1</x:v>
      </x:c>
      <x:c r="L176" s="29" t="b">
        <x:v>1</x:v>
      </x:c>
      <x:c r="M176" s="19" t="str"/>
    </x:row>
    <x:row r="177">
      <x:c r="A177" s="20" t="str">
        <x:v>tread_depth</x:v>
      </x:c>
      <x:c r="B177" s="20" t="str">
        <x:v>23-5</x:v>
      </x:c>
      <x:c r="C177" s="19" t="n">
        <x:v>23.5</x:v>
      </x:c>
      <x:c r="D177" s="20" t="n">
        <x:v>23.5</x:v>
      </x:c>
      <x:c r="E177" s="20" t="str">
        <x:v>23.5</x:v>
      </x:c>
      <x:c r="F177" s="20" t="str">
        <x:v>mm</x:v>
      </x:c>
      <x:c r="G177" s="20" t="n">
        <x:v>23.5</x:v>
      </x:c>
      <x:c r="H177" s="20" t="str">
        <x:v>23.5</x:v>
      </x:c>
      <x:c r="I177" s="20" t="n">
        <x:v>1</x:v>
      </x:c>
      <x:c r="J177" s="20" t="n">
        <x:v>1</x:v>
      </x:c>
      <x:c r="K177" s="31" t="b">
        <x:v>1</x:v>
      </x:c>
      <x:c r="L177" s="29" t="b">
        <x:v>1</x:v>
      </x:c>
      <x:c r="M177" s="19" t="str"/>
    </x:row>
    <x:row r="178">
      <x:c r="A178" s="18" t="str">
        <x:v>tread_depth</x:v>
      </x:c>
      <x:c r="B178" s="18" t="str">
        <x:v>26</x:v>
      </x:c>
      <x:c r="C178" s="19" t="n">
        <x:v>26</x:v>
      </x:c>
      <x:c r="D178" s="18" t="n">
        <x:v>26</x:v>
      </x:c>
      <x:c r="E178" s="18" t="str">
        <x:v>26</x:v>
      </x:c>
      <x:c r="F178" s="18" t="str">
        <x:v>mm</x:v>
      </x:c>
      <x:c r="G178" s="18" t="n">
        <x:v>26</x:v>
      </x:c>
      <x:c r="H178" s="18" t="str">
        <x:v>26</x:v>
      </x:c>
      <x:c r="I178" s="18" t="n">
        <x:v>1</x:v>
      </x:c>
      <x:c r="J178" s="18" t="n">
        <x:v>1</x:v>
      </x:c>
      <x:c r="K178" s="28" t="b">
        <x:v>1</x:v>
      </x:c>
      <x:c r="L178" s="29" t="b">
        <x:v>1</x:v>
      </x:c>
      <x:c r="M178" s="19" t="str"/>
    </x:row>
  </x:sheetData>
  <x:dataValidations count="2">
    <x:dataValidation type="list" sqref="K2:K178">
      <x:formula1>"TRUE,FALSE"</x:formula1>
    </x:dataValidation>
    <x:dataValidation type="list" sqref="L2:L178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a3fb74d1ac640c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26" hidden="0" customWidth="1"/>
    <x:col min="4" max="4" width="20" hidden="0" customWidth="1"/>
    <x:col min="5" max="5" width="28" hidden="0" customWidth="1"/>
    <x:col min="6" max="6" width="12" hidden="0" customWidth="1"/>
    <x:col min="7" max="7" width="12" hidden="0" customWidth="1"/>
    <x:col min="8" max="8" width="28" hidden="0" customWidth="1"/>
    <x:col min="9" max="9" width="11" hidden="0" customWidth="1"/>
    <x:col min="10" max="10" width="28" hidden="0" customWidth="1"/>
  </x:cols>
  <x:sheetData>
    <x:row r="1" ht="34" customHeight="1">
      <x:c r="A1" s="17" t="str">
        <x:v>dictionary_name</x:v>
      </x:c>
      <x:c r="B1" s="17" t="str">
        <x:v>value_key</x:v>
      </x:c>
      <x:c r="C1" s="17" t="str">
        <x:v>label_ru</x:v>
      </x:c>
      <x:c r="D1" s="17" t="str">
        <x:v>label_en</x:v>
      </x:c>
      <x:c r="E1" s="17" t="str">
        <x:v>description_ru</x:v>
      </x:c>
      <x:c r="F1" s="17" t="str">
        <x:v>sort_order</x:v>
      </x:c>
      <x:c r="G1" s="17" t="str">
        <x:v>enabled</x:v>
      </x:c>
      <x:c r="H1" s="17" t="str">
        <x:v>payload_collection_or_enum</x:v>
      </x:c>
      <x:c r="I1" s="17" t="str">
        <x:v>source_label</x:v>
      </x:c>
      <x:c r="J1" s="17" t="str">
        <x:v>notes</x:v>
      </x:c>
    </x:row>
    <x:row r="2">
      <x:c r="A2" s="18" t="str">
        <x:v>axle_positions</x:v>
      </x:c>
      <x:c r="B2" s="18" t="str">
        <x:v>steer</x:v>
      </x:c>
      <x:c r="C2" s="18" t="str">
        <x:v>Рулевая ось</x:v>
      </x:c>
      <x:c r="D2" s="18" t="str">
        <x:v>Steer</x:v>
      </x:c>
      <x:c r="E2" s="18" t="str">
        <x:v>Рулевая ось: контролируемое значение.</x:v>
      </x:c>
      <x:c r="F2" s="18" t="n">
        <x:v>1</x:v>
      </x:c>
      <x:c r="G2" s="28" t="b">
        <x:v>1</x:v>
      </x:c>
      <x:c r="H2" s="18" t="str">
        <x:v>tire-models.selectionAxles</x:v>
      </x:c>
      <x:c r="I2" s="19" t="str"/>
      <x:c r="J2" s="19" t="str"/>
    </x:row>
    <x:row r="3">
      <x:c r="A3" s="20" t="str">
        <x:v>axle_positions</x:v>
      </x:c>
      <x:c r="B3" s="20" t="str">
        <x:v>drive</x:v>
      </x:c>
      <x:c r="C3" s="20" t="str">
        <x:v>Ведущая ось</x:v>
      </x:c>
      <x:c r="D3" s="20" t="str">
        <x:v>Drive</x:v>
      </x:c>
      <x:c r="E3" s="20" t="str">
        <x:v>Ведущая ось: контролируемое значение.</x:v>
      </x:c>
      <x:c r="F3" s="20" t="n">
        <x:v>2</x:v>
      </x:c>
      <x:c r="G3" s="31" t="b">
        <x:v>1</x:v>
      </x:c>
      <x:c r="H3" s="20" t="str">
        <x:v>tire-models.selectionAxles</x:v>
      </x:c>
      <x:c r="I3" s="19" t="str"/>
      <x:c r="J3" s="19" t="str"/>
    </x:row>
    <x:row r="4">
      <x:c r="A4" s="18" t="str">
        <x:v>axle_positions</x:v>
      </x:c>
      <x:c r="B4" s="18" t="str">
        <x:v>trailer</x:v>
      </x:c>
      <x:c r="C4" s="18" t="str">
        <x:v>Прицепная ось</x:v>
      </x:c>
      <x:c r="D4" s="18" t="str">
        <x:v>Trailer</x:v>
      </x:c>
      <x:c r="E4" s="18" t="str">
        <x:v>Прицепная ось: контролируемое значение.</x:v>
      </x:c>
      <x:c r="F4" s="18" t="n">
        <x:v>3</x:v>
      </x:c>
      <x:c r="G4" s="28" t="b">
        <x:v>1</x:v>
      </x:c>
      <x:c r="H4" s="18" t="str">
        <x:v>tire-models.selectionAxles</x:v>
      </x:c>
      <x:c r="I4" s="19" t="str"/>
      <x:c r="J4" s="19" t="str"/>
    </x:row>
    <x:row r="5">
      <x:c r="A5" s="20" t="str">
        <x:v>applications</x:v>
      </x:c>
      <x:c r="B5" s="20" t="str">
        <x:v>long-haul</x:v>
      </x:c>
      <x:c r="C5" s="20" t="str">
        <x:v>Магистральные перевозки</x:v>
      </x:c>
      <x:c r="D5" s="20" t="str">
        <x:v>Long haul</x:v>
      </x:c>
      <x:c r="E5" s="20" t="str">
        <x:v>Магистральные перевозки: контролируемое значение.</x:v>
      </x:c>
      <x:c r="F5" s="20" t="n">
        <x:v>1</x:v>
      </x:c>
      <x:c r="G5" s="31" t="b">
        <x:v>1</x:v>
      </x:c>
      <x:c r="H5" s="20" t="str">
        <x:v>tire-models.applicationCategory/selectionConditions</x:v>
      </x:c>
      <x:c r="I5" s="19" t="str"/>
      <x:c r="J5" s="19" t="str"/>
    </x:row>
    <x:row r="6">
      <x:c r="A6" s="18" t="str">
        <x:v>applications</x:v>
      </x:c>
      <x:c r="B6" s="18" t="str">
        <x:v>regional</x:v>
      </x:c>
      <x:c r="C6" s="18" t="str">
        <x:v>Региональные перевозки</x:v>
      </x:c>
      <x:c r="D6" s="18" t="str">
        <x:v>Regional</x:v>
      </x:c>
      <x:c r="E6" s="18" t="str">
        <x:v>Региональные перевозки: контролируемое значение.</x:v>
      </x:c>
      <x:c r="F6" s="18" t="n">
        <x:v>2</x:v>
      </x:c>
      <x:c r="G6" s="28" t="b">
        <x:v>1</x:v>
      </x:c>
      <x:c r="H6" s="18" t="str">
        <x:v>tire-models.applicationCategory/selectionConditions</x:v>
      </x:c>
      <x:c r="I6" s="19" t="str"/>
      <x:c r="J6" s="19" t="str"/>
    </x:row>
    <x:row r="7">
      <x:c r="A7" s="20" t="str">
        <x:v>applications</x:v>
      </x:c>
      <x:c r="B7" s="20" t="str">
        <x:v>urban</x:v>
      </x:c>
      <x:c r="C7" s="20" t="str">
        <x:v>Городская эксплуатация</x:v>
      </x:c>
      <x:c r="D7" s="20" t="str">
        <x:v>Urban</x:v>
      </x:c>
      <x:c r="E7" s="20" t="str">
        <x:v>Городская эксплуатация: контролируемое значение.</x:v>
      </x:c>
      <x:c r="F7" s="20" t="n">
        <x:v>3</x:v>
      </x:c>
      <x:c r="G7" s="31" t="b">
        <x:v>1</x:v>
      </x:c>
      <x:c r="H7" s="20" t="str">
        <x:v>tire-models.applicationCategory/selectionConditions</x:v>
      </x:c>
      <x:c r="I7" s="19" t="str"/>
      <x:c r="J7" s="19" t="str"/>
    </x:row>
    <x:row r="8">
      <x:c r="A8" s="18" t="str">
        <x:v>applications</x:v>
      </x:c>
      <x:c r="B8" s="18" t="str">
        <x:v>off-road</x:v>
      </x:c>
      <x:c r="C8" s="18" t="str">
        <x:v>Бездорожье / карьер</x:v>
      </x:c>
      <x:c r="D8" s="18" t="str">
        <x:v>Off-road</x:v>
      </x:c>
      <x:c r="E8" s="18" t="str">
        <x:v>Бездорожье / карьер: контролируемое значение.</x:v>
      </x:c>
      <x:c r="F8" s="18" t="n">
        <x:v>4</x:v>
      </x:c>
      <x:c r="G8" s="28" t="b">
        <x:v>1</x:v>
      </x:c>
      <x:c r="H8" s="18" t="str">
        <x:v>tire-models.applicationCategory/selectionConditions</x:v>
      </x:c>
      <x:c r="I8" s="19" t="str"/>
      <x:c r="J8" s="19" t="str"/>
    </x:row>
    <x:row r="9">
      <x:c r="A9" s="20" t="str">
        <x:v>applications</x:v>
      </x:c>
      <x:c r="B9" s="20" t="str">
        <x:v>winter</x:v>
      </x:c>
      <x:c r="C9" s="20" t="str">
        <x:v>Зимняя эксплуатация</x:v>
      </x:c>
      <x:c r="D9" s="20" t="str">
        <x:v>Winter</x:v>
      </x:c>
      <x:c r="E9" s="20" t="str">
        <x:v>Зимняя эксплуатация: контролируемое значение.</x:v>
      </x:c>
      <x:c r="F9" s="20" t="n">
        <x:v>5</x:v>
      </x:c>
      <x:c r="G9" s="31" t="b">
        <x:v>1</x:v>
      </x:c>
      <x:c r="H9" s="20" t="str">
        <x:v>tire-models.applicationCategory/selectionConditions</x:v>
      </x:c>
      <x:c r="I9" s="19" t="str"/>
      <x:c r="J9" s="19" t="str"/>
    </x:row>
    <x:row r="10">
      <x:c r="A10" s="18" t="str">
        <x:v>applications</x:v>
      </x:c>
      <x:c r="B10" s="18" t="str">
        <x:v>snow-mud</x:v>
      </x:c>
      <x:c r="C10" s="18" t="str">
        <x:v>Снег и грязь</x:v>
      </x:c>
      <x:c r="D10" s="18" t="str">
        <x:v>Snow and mud</x:v>
      </x:c>
      <x:c r="E10" s="18" t="str">
        <x:v>Снег и грязь: контролируемое значение.</x:v>
      </x:c>
      <x:c r="F10" s="18" t="n">
        <x:v>6</x:v>
      </x:c>
      <x:c r="G10" s="28" t="b">
        <x:v>1</x:v>
      </x:c>
      <x:c r="H10" s="18" t="str">
        <x:v>tire-models.applicationCategory/selectionConditions</x:v>
      </x:c>
      <x:c r="I10" s="19" t="str"/>
      <x:c r="J10" s="19" t="str"/>
    </x:row>
    <x:row r="11">
      <x:c r="A11" s="20" t="str">
        <x:v>performance_features</x:v>
      </x:c>
      <x:c r="B11" s="20" t="str">
        <x:v>handling</x:v>
      </x:c>
      <x:c r="C11" s="20" t="str">
        <x:v>Управляемость</x:v>
      </x:c>
      <x:c r="D11" s="20" t="str">
        <x:v>Handling</x:v>
      </x:c>
      <x:c r="E11" s="20" t="str">
        <x:v>Управляемость: контролируемое значение.</x:v>
      </x:c>
      <x:c r="F11" s="20" t="n">
        <x:v>1</x:v>
      </x:c>
      <x:c r="G11" s="31" t="b">
        <x:v>1</x:v>
      </x:c>
      <x:c r="H11" s="20" t="str">
        <x:v>recommended enum</x:v>
      </x:c>
      <x:c r="I11" s="19" t="str"/>
      <x:c r="J11" s="19" t="str"/>
    </x:row>
    <x:row r="12">
      <x:c r="A12" s="18" t="str">
        <x:v>performance_features</x:v>
      </x:c>
      <x:c r="B12" s="18" t="str">
        <x:v>safety</x:v>
      </x:c>
      <x:c r="C12" s="18" t="str">
        <x:v>Безопасность</x:v>
      </x:c>
      <x:c r="D12" s="18" t="str">
        <x:v>Safety</x:v>
      </x:c>
      <x:c r="E12" s="18" t="str">
        <x:v>Безопасность: контролируемое значение.</x:v>
      </x:c>
      <x:c r="F12" s="18" t="n">
        <x:v>2</x:v>
      </x:c>
      <x:c r="G12" s="28" t="b">
        <x:v>1</x:v>
      </x:c>
      <x:c r="H12" s="18" t="str">
        <x:v>recommended enum</x:v>
      </x:c>
      <x:c r="I12" s="19" t="str"/>
      <x:c r="J12" s="19" t="str"/>
    </x:row>
    <x:row r="13">
      <x:c r="A13" s="20" t="str">
        <x:v>performance_features</x:v>
      </x:c>
      <x:c r="B13" s="20" t="str">
        <x:v>high-mileage</x:v>
      </x:c>
      <x:c r="C13" s="20" t="str">
        <x:v>Высокий пробег</x:v>
      </x:c>
      <x:c r="D13" s="20" t="str">
        <x:v>High mileage</x:v>
      </x:c>
      <x:c r="E13" s="20" t="str">
        <x:v>Высокий пробег: контролируемое значение.</x:v>
      </x:c>
      <x:c r="F13" s="20" t="n">
        <x:v>3</x:v>
      </x:c>
      <x:c r="G13" s="31" t="b">
        <x:v>1</x:v>
      </x:c>
      <x:c r="H13" s="20" t="str">
        <x:v>recommended enum</x:v>
      </x:c>
      <x:c r="I13" s="19" t="str"/>
      <x:c r="J13" s="19" t="str"/>
    </x:row>
    <x:row r="14">
      <x:c r="A14" s="18" t="str">
        <x:v>performance_features</x:v>
      </x:c>
      <x:c r="B14" s="18" t="str">
        <x:v>economy</x:v>
      </x:c>
      <x:c r="C14" s="18" t="str">
        <x:v>Экономичность</x:v>
      </x:c>
      <x:c r="D14" s="18" t="str">
        <x:v>Economy</x:v>
      </x:c>
      <x:c r="E14" s="18" t="str">
        <x:v>Экономичность: контролируемое значение.</x:v>
      </x:c>
      <x:c r="F14" s="18" t="n">
        <x:v>4</x:v>
      </x:c>
      <x:c r="G14" s="28" t="b">
        <x:v>1</x:v>
      </x:c>
      <x:c r="H14" s="18" t="str">
        <x:v>recommended enum</x:v>
      </x:c>
      <x:c r="I14" s="19" t="str"/>
      <x:c r="J14" s="19" t="str"/>
    </x:row>
    <x:row r="15">
      <x:c r="A15" s="20" t="str">
        <x:v>performance_features</x:v>
      </x:c>
      <x:c r="B15" s="20" t="str">
        <x:v>wet-grip</x:v>
      </x:c>
      <x:c r="C15" s="20" t="str">
        <x:v>Сцепление на мокрой дороге</x:v>
      </x:c>
      <x:c r="D15" s="20" t="str">
        <x:v>Wet grip</x:v>
      </x:c>
      <x:c r="E15" s="20" t="str">
        <x:v>Сцепление на мокрой дороге: контролируемое значение.</x:v>
      </x:c>
      <x:c r="F15" s="20" t="n">
        <x:v>5</x:v>
      </x:c>
      <x:c r="G15" s="31" t="b">
        <x:v>1</x:v>
      </x:c>
      <x:c r="H15" s="20" t="str">
        <x:v>recommended enum</x:v>
      </x:c>
      <x:c r="I15" s="19" t="str"/>
      <x:c r="J15" s="19" t="str"/>
    </x:row>
    <x:row r="16">
      <x:c r="A16" s="18" t="str">
        <x:v>performance_features</x:v>
      </x:c>
      <x:c r="B16" s="18" t="str">
        <x:v>anti-wear</x:v>
      </x:c>
      <x:c r="C16" s="18" t="str">
        <x:v>Износостойкость</x:v>
      </x:c>
      <x:c r="D16" s="18" t="str">
        <x:v>Anti-wear</x:v>
      </x:c>
      <x:c r="E16" s="18" t="str">
        <x:v>Износостойкость: контролируемое значение.</x:v>
      </x:c>
      <x:c r="F16" s="18" t="n">
        <x:v>6</x:v>
      </x:c>
      <x:c r="G16" s="28" t="b">
        <x:v>1</x:v>
      </x:c>
      <x:c r="H16" s="18" t="str">
        <x:v>recommended enum</x:v>
      </x:c>
      <x:c r="I16" s="19" t="str"/>
      <x:c r="J16" s="19" t="str"/>
    </x:row>
    <x:row r="17">
      <x:c r="A17" s="20" t="str">
        <x:v>performance_features</x:v>
      </x:c>
      <x:c r="B17" s="20" t="str">
        <x:v>anti-tear</x:v>
      </x:c>
      <x:c r="C17" s="20" t="str">
        <x:v>Стойкость к разрывам</x:v>
      </x:c>
      <x:c r="D17" s="20" t="str">
        <x:v>Anti-tear</x:v>
      </x:c>
      <x:c r="E17" s="20" t="str">
        <x:v>Стойкость к разрывам: контролируемое значение.</x:v>
      </x:c>
      <x:c r="F17" s="20" t="n">
        <x:v>7</x:v>
      </x:c>
      <x:c r="G17" s="31" t="b">
        <x:v>1</x:v>
      </x:c>
      <x:c r="H17" s="20" t="str">
        <x:v>recommended enum</x:v>
      </x:c>
      <x:c r="I17" s="19" t="str"/>
      <x:c r="J17" s="19" t="str"/>
    </x:row>
    <x:row r="18">
      <x:c r="A18" s="18" t="str">
        <x:v>performance_features</x:v>
      </x:c>
      <x:c r="B18" s="18" t="str">
        <x:v>short-braking-distance</x:v>
      </x:c>
      <x:c r="C18" s="18" t="str">
        <x:v>Короткий тормозной путь</x:v>
      </x:c>
      <x:c r="D18" s="18" t="str">
        <x:v>Short braking distance</x:v>
      </x:c>
      <x:c r="E18" s="18" t="str">
        <x:v>Короткий тормозной путь: контролируемое значение.</x:v>
      </x:c>
      <x:c r="F18" s="18" t="n">
        <x:v>8</x:v>
      </x:c>
      <x:c r="G18" s="28" t="b">
        <x:v>1</x:v>
      </x:c>
      <x:c r="H18" s="18" t="str">
        <x:v>recommended enum</x:v>
      </x:c>
      <x:c r="I18" s="19" t="str"/>
      <x:c r="J18" s="19" t="str"/>
    </x:row>
    <x:row r="19">
      <x:c r="A19" s="20" t="str">
        <x:v>performance_features</x:v>
      </x:c>
      <x:c r="B19" s="20" t="str">
        <x:v>low-noise</x:v>
      </x:c>
      <x:c r="C19" s="20" t="str">
        <x:v>Низкий уровень шума</x:v>
      </x:c>
      <x:c r="D19" s="20" t="str">
        <x:v>Low noise</x:v>
      </x:c>
      <x:c r="E19" s="20" t="str">
        <x:v>Низкий уровень шума: контролируемое значение.</x:v>
      </x:c>
      <x:c r="F19" s="20" t="n">
        <x:v>9</x:v>
      </x:c>
      <x:c r="G19" s="31" t="b">
        <x:v>1</x:v>
      </x:c>
      <x:c r="H19" s="20" t="str">
        <x:v>recommended enum</x:v>
      </x:c>
      <x:c r="I19" s="19" t="str"/>
      <x:c r="J19" s="19" t="str"/>
    </x:row>
    <x:row r="20">
      <x:c r="A20" s="18" t="str">
        <x:v>performance_features</x:v>
      </x:c>
      <x:c r="B20" s="18" t="str">
        <x:v>heavy-load</x:v>
      </x:c>
      <x:c r="C20" s="18" t="str">
        <x:v>Высокая грузоподъёмность</x:v>
      </x:c>
      <x:c r="D20" s="18" t="str">
        <x:v>Heavy load</x:v>
      </x:c>
      <x:c r="E20" s="18" t="str">
        <x:v>Высокая грузоподъёмность: контролируемое значение.</x:v>
      </x:c>
      <x:c r="F20" s="18" t="n">
        <x:v>10</x:v>
      </x:c>
      <x:c r="G20" s="28" t="b">
        <x:v>1</x:v>
      </x:c>
      <x:c r="H20" s="18" t="str">
        <x:v>recommended enum</x:v>
      </x:c>
      <x:c r="I20" s="19" t="str"/>
      <x:c r="J20" s="19" t="str"/>
    </x:row>
    <x:row r="21">
      <x:c r="A21" s="20" t="str">
        <x:v>performance_features</x:v>
      </x:c>
      <x:c r="B21" s="20" t="str">
        <x:v>self-cleaning</x:v>
      </x:c>
      <x:c r="C21" s="20" t="str">
        <x:v>Самоочищение</x:v>
      </x:c>
      <x:c r="D21" s="20" t="str">
        <x:v>Self-cleaning</x:v>
      </x:c>
      <x:c r="E21" s="20" t="str">
        <x:v>Самоочищение: контролируемое значение.</x:v>
      </x:c>
      <x:c r="F21" s="20" t="n">
        <x:v>11</x:v>
      </x:c>
      <x:c r="G21" s="31" t="b">
        <x:v>1</x:v>
      </x:c>
      <x:c r="H21" s="20" t="str">
        <x:v>recommended enum</x:v>
      </x:c>
      <x:c r="I21" s="19" t="str"/>
      <x:c r="J21" s="19" t="str"/>
    </x:row>
    <x:row r="22">
      <x:c r="A22" s="18" t="str">
        <x:v>performance_features</x:v>
      </x:c>
      <x:c r="B22" s="18" t="str">
        <x:v>retreadability</x:v>
      </x:c>
      <x:c r="C22" s="18" t="str">
        <x:v>Восстанавливаемость</x:v>
      </x:c>
      <x:c r="D22" s="18" t="str">
        <x:v>Retreadability</x:v>
      </x:c>
      <x:c r="E22" s="18" t="str">
        <x:v>Восстанавливаемость: контролируемое значение.</x:v>
      </x:c>
      <x:c r="F22" s="18" t="n">
        <x:v>12</x:v>
      </x:c>
      <x:c r="G22" s="28" t="b">
        <x:v>1</x:v>
      </x:c>
      <x:c r="H22" s="18" t="str">
        <x:v>recommended enum</x:v>
      </x:c>
      <x:c r="I22" s="19" t="str"/>
      <x:c r="J22" s="19" t="str"/>
    </x:row>
    <x:row r="23">
      <x:c r="A23" s="20" t="str">
        <x:v>performance_features</x:v>
      </x:c>
      <x:c r="B23" s="20" t="str">
        <x:v>stone-ejection</x:v>
      </x:c>
      <x:c r="C23" s="20" t="str">
        <x:v>Удаление камней</x:v>
      </x:c>
      <x:c r="D23" s="20" t="str">
        <x:v>Stone ejection</x:v>
      </x:c>
      <x:c r="E23" s="20" t="str">
        <x:v>Удаление камней: контролируемое значение.</x:v>
      </x:c>
      <x:c r="F23" s="20" t="n">
        <x:v>13</x:v>
      </x:c>
      <x:c r="G23" s="31" t="b">
        <x:v>1</x:v>
      </x:c>
      <x:c r="H23" s="20" t="str">
        <x:v>recommended enum</x:v>
      </x:c>
      <x:c r="I23" s="19" t="str"/>
      <x:c r="J23" s="19" t="str"/>
    </x:row>
    <x:row r="24">
      <x:c r="A24" s="18" t="str">
        <x:v>performance_features</x:v>
      </x:c>
      <x:c r="B24" s="18" t="str">
        <x:v>low-rolling-resistance</x:v>
      </x:c>
      <x:c r="C24" s="18" t="str">
        <x:v>Низкое сопротивление качению</x:v>
      </x:c>
      <x:c r="D24" s="18" t="str">
        <x:v>Low rolling resistance</x:v>
      </x:c>
      <x:c r="E24" s="18" t="str">
        <x:v>Низкое сопротивление качению: контролируемое значение.</x:v>
      </x:c>
      <x:c r="F24" s="18" t="n">
        <x:v>14</x:v>
      </x:c>
      <x:c r="G24" s="28" t="b">
        <x:v>1</x:v>
      </x:c>
      <x:c r="H24" s="18" t="str">
        <x:v>recommended enum</x:v>
      </x:c>
      <x:c r="I24" s="19" t="str"/>
      <x:c r="J24" s="19" t="str"/>
    </x:row>
    <x:row r="25">
      <x:c r="A25" s="20" t="str">
        <x:v>performance_features</x:v>
      </x:c>
      <x:c r="B25" s="20" t="str">
        <x:v>heat-dissipation</x:v>
      </x:c>
      <x:c r="C25" s="20" t="str">
        <x:v>Теплоотвод</x:v>
      </x:c>
      <x:c r="D25" s="20" t="str">
        <x:v>Heat dissipation</x:v>
      </x:c>
      <x:c r="E25" s="20" t="str">
        <x:v>Теплоотвод: контролируемое значение.</x:v>
      </x:c>
      <x:c r="F25" s="20" t="n">
        <x:v>15</x:v>
      </x:c>
      <x:c r="G25" s="31" t="b">
        <x:v>1</x:v>
      </x:c>
      <x:c r="H25" s="20" t="str">
        <x:v>recommended enum</x:v>
      </x:c>
      <x:c r="I25" s="19" t="str"/>
      <x:c r="J25" s="19" t="str"/>
    </x:row>
    <x:row r="26">
      <x:c r="A26" s="18" t="str">
        <x:v>performance_features</x:v>
      </x:c>
      <x:c r="B26" s="18" t="str">
        <x:v>cut-resistance</x:v>
      </x:c>
      <x:c r="C26" s="18" t="str">
        <x:v>Стойкость к порезам</x:v>
      </x:c>
      <x:c r="D26" s="18" t="str">
        <x:v>Cut resistance</x:v>
      </x:c>
      <x:c r="E26" s="18" t="str">
        <x:v>Стойкость к порезам: контролируемое значение.</x:v>
      </x:c>
      <x:c r="F26" s="18" t="n">
        <x:v>16</x:v>
      </x:c>
      <x:c r="G26" s="28" t="b">
        <x:v>1</x:v>
      </x:c>
      <x:c r="H26" s="18" t="str">
        <x:v>recommended enum</x:v>
      </x:c>
      <x:c r="I26" s="19" t="str"/>
      <x:c r="J26" s="19" t="str"/>
    </x:row>
    <x:row r="27">
      <x:c r="A27" s="20" t="str">
        <x:v>performance_features</x:v>
      </x:c>
      <x:c r="B27" s="20" t="str">
        <x:v>puncture-resistance</x:v>
      </x:c>
      <x:c r="C27" s="20" t="str">
        <x:v>Стойкость к проколам</x:v>
      </x:c>
      <x:c r="D27" s="20" t="str">
        <x:v>Puncture resistance</x:v>
      </x:c>
      <x:c r="E27" s="20" t="str">
        <x:v>Стойкость к проколам: контролируемое значение.</x:v>
      </x:c>
      <x:c r="F27" s="20" t="n">
        <x:v>17</x:v>
      </x:c>
      <x:c r="G27" s="31" t="b">
        <x:v>1</x:v>
      </x:c>
      <x:c r="H27" s="20" t="str">
        <x:v>recommended enum</x:v>
      </x:c>
      <x:c r="I27" s="19" t="str"/>
      <x:c r="J27" s="19" t="str"/>
    </x:row>
    <x:row r="28">
      <x:c r="A28" s="18" t="str">
        <x:v>verification_status</x:v>
      </x:c>
      <x:c r="B28" s="18" t="str">
        <x:v>verified</x:v>
      </x:c>
      <x:c r="C28" s="18" t="str">
        <x:v>Проверено</x:v>
      </x:c>
      <x:c r="D28" s="18" t="str">
        <x:v>Verified</x:v>
      </x:c>
      <x:c r="E28" s="18" t="str">
        <x:v>Проверено: контролируемое значение.</x:v>
      </x:c>
      <x:c r="F28" s="18" t="n">
        <x:v>1</x:v>
      </x:c>
      <x:c r="G28" s="28" t="b">
        <x:v>1</x:v>
      </x:c>
      <x:c r="H28" s="18" t="str">
        <x:v>workbook enum</x:v>
      </x:c>
      <x:c r="I28" s="19" t="str"/>
      <x:c r="J28" s="19" t="str"/>
    </x:row>
    <x:row r="29">
      <x:c r="A29" s="20" t="str">
        <x:v>verification_status</x:v>
      </x:c>
      <x:c r="B29" s="20" t="str">
        <x:v>needs_review</x:v>
      </x:c>
      <x:c r="C29" s="20" t="str">
        <x:v>Требует проверки</x:v>
      </x:c>
      <x:c r="D29" s="20" t="str">
        <x:v>Needs review</x:v>
      </x:c>
      <x:c r="E29" s="20" t="str">
        <x:v>Требует проверки: контролируемое значение.</x:v>
      </x:c>
      <x:c r="F29" s="20" t="n">
        <x:v>2</x:v>
      </x:c>
      <x:c r="G29" s="31" t="b">
        <x:v>1</x:v>
      </x:c>
      <x:c r="H29" s="20" t="str">
        <x:v>workbook enum</x:v>
      </x:c>
      <x:c r="I29" s="19" t="str"/>
      <x:c r="J29" s="19" t="str"/>
    </x:row>
    <x:row r="30">
      <x:c r="A30" s="18" t="str">
        <x:v>verification_status</x:v>
      </x:c>
      <x:c r="B30" s="18" t="str">
        <x:v>source_only</x:v>
      </x:c>
      <x:c r="C30" s="18" t="str">
        <x:v>Только источник</x:v>
      </x:c>
      <x:c r="D30" s="18" t="str">
        <x:v>Source only</x:v>
      </x:c>
      <x:c r="E30" s="18" t="str">
        <x:v>Только источник: контролируемое значение.</x:v>
      </x:c>
      <x:c r="F30" s="18" t="n">
        <x:v>3</x:v>
      </x:c>
      <x:c r="G30" s="28" t="b">
        <x:v>1</x:v>
      </x:c>
      <x:c r="H30" s="18" t="str">
        <x:v>workbook enum</x:v>
      </x:c>
      <x:c r="I30" s="19" t="str"/>
      <x:c r="J30" s="19" t="str"/>
    </x:row>
    <x:row r="31">
      <x:c r="A31" s="20" t="str">
        <x:v>verification_status</x:v>
      </x:c>
      <x:c r="B31" s="20" t="str">
        <x:v>rejected</x:v>
      </x:c>
      <x:c r="C31" s="20" t="str">
        <x:v>Отклонено</x:v>
      </x:c>
      <x:c r="D31" s="20" t="str">
        <x:v>Rejected</x:v>
      </x:c>
      <x:c r="E31" s="20" t="str">
        <x:v>Отклонено: контролируемое значение.</x:v>
      </x:c>
      <x:c r="F31" s="20" t="n">
        <x:v>4</x:v>
      </x:c>
      <x:c r="G31" s="31" t="b">
        <x:v>1</x:v>
      </x:c>
      <x:c r="H31" s="20" t="str">
        <x:v>workbook enum</x:v>
      </x:c>
      <x:c r="I31" s="19" t="str"/>
      <x:c r="J31" s="19" t="str"/>
    </x:row>
    <x:row r="32">
      <x:c r="A32" s="18" t="str">
        <x:v>publication_status</x:v>
      </x:c>
      <x:c r="B32" s="18" t="str">
        <x:v>draft</x:v>
      </x:c>
      <x:c r="C32" s="18" t="str">
        <x:v>Черновик</x:v>
      </x:c>
      <x:c r="D32" s="18" t="str">
        <x:v>Draft</x:v>
      </x:c>
      <x:c r="E32" s="18" t="str">
        <x:v>Черновик: контролируемое значение.</x:v>
      </x:c>
      <x:c r="F32" s="18" t="n">
        <x:v>1</x:v>
      </x:c>
      <x:c r="G32" s="28" t="b">
        <x:v>1</x:v>
      </x:c>
      <x:c r="H32" s="18" t="str">
        <x:v>Payload status</x:v>
      </x:c>
      <x:c r="I32" s="19" t="str"/>
      <x:c r="J32" s="19" t="str"/>
    </x:row>
    <x:row r="33">
      <x:c r="A33" s="20" t="str">
        <x:v>publication_status</x:v>
      </x:c>
      <x:c r="B33" s="20" t="str">
        <x:v>review</x:v>
      </x:c>
      <x:c r="C33" s="20" t="str">
        <x:v>На проверке</x:v>
      </x:c>
      <x:c r="D33" s="20" t="str">
        <x:v>Review</x:v>
      </x:c>
      <x:c r="E33" s="20" t="str">
        <x:v>На проверке: контролируемое значение.</x:v>
      </x:c>
      <x:c r="F33" s="20" t="n">
        <x:v>2</x:v>
      </x:c>
      <x:c r="G33" s="31" t="b">
        <x:v>1</x:v>
      </x:c>
      <x:c r="H33" s="20" t="str">
        <x:v>Payload status</x:v>
      </x:c>
      <x:c r="I33" s="19" t="str"/>
      <x:c r="J33" s="19" t="str"/>
    </x:row>
    <x:row r="34">
      <x:c r="A34" s="18" t="str">
        <x:v>publication_status</x:v>
      </x:c>
      <x:c r="B34" s="18" t="str">
        <x:v>published</x:v>
      </x:c>
      <x:c r="C34" s="18" t="str">
        <x:v>Опубликовано</x:v>
      </x:c>
      <x:c r="D34" s="18" t="str">
        <x:v>Published</x:v>
      </x:c>
      <x:c r="E34" s="18" t="str">
        <x:v>Опубликовано: контролируемое значение.</x:v>
      </x:c>
      <x:c r="F34" s="18" t="n">
        <x:v>3</x:v>
      </x:c>
      <x:c r="G34" s="28" t="b">
        <x:v>1</x:v>
      </x:c>
      <x:c r="H34" s="18" t="str">
        <x:v>Payload status</x:v>
      </x:c>
      <x:c r="I34" s="19" t="str"/>
      <x:c r="J34" s="19" t="str"/>
    </x:row>
    <x:row r="35">
      <x:c r="A35" s="20" t="str">
        <x:v>publication_status</x:v>
      </x:c>
      <x:c r="B35" s="20" t="str">
        <x:v>archived</x:v>
      </x:c>
      <x:c r="C35" s="20" t="str">
        <x:v>Архив</x:v>
      </x:c>
      <x:c r="D35" s="20" t="str">
        <x:v>Archived</x:v>
      </x:c>
      <x:c r="E35" s="20" t="str">
        <x:v>Архив: контролируемое значение.</x:v>
      </x:c>
      <x:c r="F35" s="20" t="n">
        <x:v>4</x:v>
      </x:c>
      <x:c r="G35" s="31" t="b">
        <x:v>1</x:v>
      </x:c>
      <x:c r="H35" s="20" t="str">
        <x:v>Payload status</x:v>
      </x:c>
      <x:c r="I35" s="19" t="str"/>
      <x:c r="J35" s="19" t="str"/>
    </x:row>
    <x:row r="36">
      <x:c r="A36" s="18" t="str">
        <x:v>size_format</x:v>
      </x:c>
      <x:c r="B36" s="18" t="str">
        <x:v>metric</x:v>
      </x:c>
      <x:c r="C36" s="18" t="str">
        <x:v>Метрический</x:v>
      </x:c>
      <x:c r="D36" s="18" t="str">
        <x:v>Metric</x:v>
      </x:c>
      <x:c r="E36" s="18" t="str">
        <x:v>Метрический: контролируемое значение.</x:v>
      </x:c>
      <x:c r="F36" s="18" t="n">
        <x:v>1</x:v>
      </x:c>
      <x:c r="G36" s="28" t="b">
        <x:v>1</x:v>
      </x:c>
      <x:c r="H36" s="18" t="str">
        <x:v>workbook enum</x:v>
      </x:c>
      <x:c r="I36" s="19" t="str"/>
      <x:c r="J36" s="19" t="str"/>
    </x:row>
    <x:row r="37">
      <x:c r="A37" s="20" t="str">
        <x:v>size_format</x:v>
      </x:c>
      <x:c r="B37" s="20" t="str">
        <x:v>imperial</x:v>
      </x:c>
      <x:c r="C37" s="20" t="str">
        <x:v>Дюймовый</x:v>
      </x:c>
      <x:c r="D37" s="20" t="str">
        <x:v>Imperial</x:v>
      </x:c>
      <x:c r="E37" s="20" t="str">
        <x:v>Дюймовый: контролируемое значение.</x:v>
      </x:c>
      <x:c r="F37" s="20" t="n">
        <x:v>2</x:v>
      </x:c>
      <x:c r="G37" s="31" t="b">
        <x:v>1</x:v>
      </x:c>
      <x:c r="H37" s="20" t="str">
        <x:v>workbook enum</x:v>
      </x:c>
      <x:c r="I37" s="19" t="str"/>
      <x:c r="J37" s="19" t="str"/>
    </x:row>
    <x:row r="38">
      <x:c r="A38" s="18" t="str">
        <x:v>construction_code</x:v>
      </x:c>
      <x:c r="B38" s="18" t="str">
        <x:v>R</x:v>
      </x:c>
      <x:c r="C38" s="18" t="str">
        <x:v>Радиальная</x:v>
      </x:c>
      <x:c r="D38" s="18" t="str">
        <x:v>Radial</x:v>
      </x:c>
      <x:c r="E38" s="18" t="str">
        <x:v>Радиальная: контролируемое значение.</x:v>
      </x:c>
      <x:c r="F38" s="18" t="n">
        <x:v>1</x:v>
      </x:c>
      <x:c r="G38" s="28" t="b">
        <x:v>1</x:v>
      </x:c>
      <x:c r="H38" s="18" t="str">
        <x:v>workbook enum</x:v>
      </x:c>
      <x:c r="I38" s="19" t="str">
        <x:v>R</x:v>
      </x:c>
      <x:c r="J38" s="19" t="str"/>
    </x:row>
    <x:row r="39">
      <x:c r="A39" s="20" t="str">
        <x:v>speed_symbols</x:v>
      </x:c>
      <x:c r="B39" s="20" t="str">
        <x:v>B</x:v>
      </x:c>
      <x:c r="C39" s="20" t="str">
        <x:v>B</x:v>
      </x:c>
      <x:c r="D39" s="20" t="str">
        <x:v>B</x:v>
      </x:c>
      <x:c r="E39" s="20" t="str">
        <x:v>B: контролируемое значение.</x:v>
      </x:c>
      <x:c r="F39" s="20" t="n">
        <x:v>1</x:v>
      </x:c>
      <x:c r="G39" s="31" t="b">
        <x:v>1</x:v>
      </x:c>
      <x:c r="H39" s="20" t="str">
        <x:v>tire-variants.speedIndex</x:v>
      </x:c>
      <x:c r="I39" s="19" t="str">
        <x:v>B</x:v>
      </x:c>
      <x:c r="J39" s="19" t="str"/>
    </x:row>
    <x:row r="40">
      <x:c r="A40" s="18" t="str">
        <x:v>speed_symbols</x:v>
      </x:c>
      <x:c r="B40" s="18" t="str">
        <x:v>F</x:v>
      </x:c>
      <x:c r="C40" s="18" t="str">
        <x:v>F</x:v>
      </x:c>
      <x:c r="D40" s="18" t="str">
        <x:v>F</x:v>
      </x:c>
      <x:c r="E40" s="18" t="str">
        <x:v>F: контролируемое значение.</x:v>
      </x:c>
      <x:c r="F40" s="18" t="n">
        <x:v>2</x:v>
      </x:c>
      <x:c r="G40" s="28" t="b">
        <x:v>1</x:v>
      </x:c>
      <x:c r="H40" s="18" t="str">
        <x:v>tire-variants.speedIndex</x:v>
      </x:c>
      <x:c r="I40" s="19" t="str">
        <x:v>F</x:v>
      </x:c>
      <x:c r="J40" s="19" t="str"/>
    </x:row>
    <x:row r="41">
      <x:c r="A41" s="20" t="str">
        <x:v>speed_symbols</x:v>
      </x:c>
      <x:c r="B41" s="20" t="str">
        <x:v>G</x:v>
      </x:c>
      <x:c r="C41" s="20" t="str">
        <x:v>G</x:v>
      </x:c>
      <x:c r="D41" s="20" t="str">
        <x:v>G</x:v>
      </x:c>
      <x:c r="E41" s="20" t="str">
        <x:v>G: контролируемое значение.</x:v>
      </x:c>
      <x:c r="F41" s="20" t="n">
        <x:v>3</x:v>
      </x:c>
      <x:c r="G41" s="31" t="b">
        <x:v>1</x:v>
      </x:c>
      <x:c r="H41" s="20" t="str">
        <x:v>tire-variants.speedIndex</x:v>
      </x:c>
      <x:c r="I41" s="19" t="str">
        <x:v>G</x:v>
      </x:c>
      <x:c r="J41" s="19" t="str"/>
    </x:row>
    <x:row r="42">
      <x:c r="A42" s="18" t="str">
        <x:v>speed_symbols</x:v>
      </x:c>
      <x:c r="B42" s="18" t="str">
        <x:v>J</x:v>
      </x:c>
      <x:c r="C42" s="18" t="str">
        <x:v>J</x:v>
      </x:c>
      <x:c r="D42" s="18" t="str">
        <x:v>J</x:v>
      </x:c>
      <x:c r="E42" s="18" t="str">
        <x:v>J: контролируемое значение.</x:v>
      </x:c>
      <x:c r="F42" s="18" t="n">
        <x:v>4</x:v>
      </x:c>
      <x:c r="G42" s="28" t="b">
        <x:v>1</x:v>
      </x:c>
      <x:c r="H42" s="18" t="str">
        <x:v>tire-variants.speedIndex</x:v>
      </x:c>
      <x:c r="I42" s="19" t="str">
        <x:v>J</x:v>
      </x:c>
      <x:c r="J42" s="19" t="str"/>
    </x:row>
    <x:row r="43">
      <x:c r="A43" s="20" t="str">
        <x:v>speed_symbols</x:v>
      </x:c>
      <x:c r="B43" s="20" t="str">
        <x:v>K</x:v>
      </x:c>
      <x:c r="C43" s="20" t="str">
        <x:v>K</x:v>
      </x:c>
      <x:c r="D43" s="20" t="str">
        <x:v>K</x:v>
      </x:c>
      <x:c r="E43" s="20" t="str">
        <x:v>K: контролируемое значение.</x:v>
      </x:c>
      <x:c r="F43" s="20" t="n">
        <x:v>5</x:v>
      </x:c>
      <x:c r="G43" s="31" t="b">
        <x:v>1</x:v>
      </x:c>
      <x:c r="H43" s="20" t="str">
        <x:v>tire-variants.speedIndex</x:v>
      </x:c>
      <x:c r="I43" s="19" t="str">
        <x:v>K</x:v>
      </x:c>
      <x:c r="J43" s="19" t="str"/>
    </x:row>
    <x:row r="44">
      <x:c r="A44" s="18" t="str">
        <x:v>speed_symbols</x:v>
      </x:c>
      <x:c r="B44" s="18" t="str">
        <x:v>L</x:v>
      </x:c>
      <x:c r="C44" s="18" t="str">
        <x:v>L</x:v>
      </x:c>
      <x:c r="D44" s="18" t="str">
        <x:v>L</x:v>
      </x:c>
      <x:c r="E44" s="18" t="str">
        <x:v>L: контролируемое значение.</x:v>
      </x:c>
      <x:c r="F44" s="18" t="n">
        <x:v>6</x:v>
      </x:c>
      <x:c r="G44" s="28" t="b">
        <x:v>1</x:v>
      </x:c>
      <x:c r="H44" s="18" t="str">
        <x:v>tire-variants.speedIndex</x:v>
      </x:c>
      <x:c r="I44" s="19" t="str">
        <x:v>L</x:v>
      </x:c>
      <x:c r="J44" s="19" t="str"/>
    </x:row>
    <x:row r="45">
      <x:c r="A45" s="20" t="str">
        <x:v>speed_symbols</x:v>
      </x:c>
      <x:c r="B45" s="20" t="str">
        <x:v>M</x:v>
      </x:c>
      <x:c r="C45" s="20" t="str">
        <x:v>M</x:v>
      </x:c>
      <x:c r="D45" s="20" t="str">
        <x:v>M</x:v>
      </x:c>
      <x:c r="E45" s="20" t="str">
        <x:v>M: контролируемое значение.</x:v>
      </x:c>
      <x:c r="F45" s="20" t="n">
        <x:v>7</x:v>
      </x:c>
      <x:c r="G45" s="31" t="b">
        <x:v>1</x:v>
      </x:c>
      <x:c r="H45" s="20" t="str">
        <x:v>tire-variants.speedIndex</x:v>
      </x:c>
      <x:c r="I45" s="19" t="str">
        <x:v>M</x:v>
      </x:c>
      <x:c r="J45" s="19" t="str"/>
    </x:row>
  </x:sheetData>
  <x:dataValidations count="1">
    <x:dataValidation type="list" sqref="G2:G45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59968e18627478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8" hidden="0" customWidth="1"/>
    <x:col min="3" max="3" width="10" hidden="0" customWidth="1"/>
    <x:col min="4" max="4" width="17" hidden="0" customWidth="1"/>
    <x:col min="5" max="5" width="28" hidden="0" customWidth="1"/>
    <x:col min="6" max="6" width="17" hidden="0" customWidth="1"/>
    <x:col min="7" max="7" width="12" hidden="0" customWidth="1"/>
    <x:col min="8" max="8" width="10" hidden="0" customWidth="1"/>
    <x:col min="9" max="9" width="10" hidden="0" customWidth="1"/>
    <x:col min="10" max="10" width="10" hidden="0" customWidth="1"/>
    <x:col min="11" max="11" width="22" hidden="0" customWidth="1"/>
    <x:col min="12" max="12" width="13" hidden="0" customWidth="1"/>
    <x:col min="13" max="13" width="10" hidden="0" customWidth="1"/>
    <x:col min="14" max="14" width="18" hidden="0" customWidth="1"/>
    <x:col min="15" max="15" width="22" hidden="0" customWidth="1"/>
    <x:col min="16" max="16" width="21" hidden="0" customWidth="1"/>
    <x:col min="17" max="17" width="17" hidden="0" customWidth="1"/>
    <x:col min="18" max="18" width="28" hidden="0" customWidth="1"/>
  </x:cols>
  <x:sheetData>
    <x:row r="1" ht="34" customHeight="1">
      <x:c r="A1" s="17" t="str">
        <x:v>excel_sheet</x:v>
      </x:c>
      <x:c r="B1" s="17" t="str">
        <x:v>excel_column</x:v>
      </x:c>
      <x:c r="C1" s="17" t="str">
        <x:v>entity</x:v>
      </x:c>
      <x:c r="D1" s="17" t="str">
        <x:v>payload_collection</x:v>
      </x:c>
      <x:c r="E1" s="17" t="str">
        <x:v>payload_field</x:v>
      </x:c>
      <x:c r="F1" s="17" t="str">
        <x:v>payload_field_type</x:v>
      </x:c>
      <x:c r="G1" s="17" t="str">
        <x:v>required</x:v>
      </x:c>
      <x:c r="H1" s="17" t="str">
        <x:v>has_many</x:v>
      </x:c>
      <x:c r="I1" s="17" t="str">
        <x:v>relation_to</x:v>
      </x:c>
      <x:c r="J1" s="17" t="str">
        <x:v>localized</x:v>
      </x:c>
      <x:c r="K1" s="17" t="str">
        <x:v>admin_group</x:v>
      </x:c>
      <x:c r="L1" s="17" t="str">
        <x:v>admin_position</x:v>
      </x:c>
      <x:c r="M1" s="17" t="str">
        <x:v>validation</x:v>
      </x:c>
      <x:c r="N1" s="17" t="str">
        <x:v>hook</x:v>
      </x:c>
      <x:c r="O1" s="17" t="str">
        <x:v>access_rule</x:v>
      </x:c>
      <x:c r="P1" s="17" t="str">
        <x:v>import_behavior</x:v>
      </x:c>
      <x:c r="Q1" s="17" t="str">
        <x:v>export_behavior</x:v>
      </x:c>
      <x:c r="R1" s="17" t="str">
        <x:v>notes</x:v>
      </x:c>
    </x:row>
    <x:row r="2">
      <x:c r="A2" s="18" t="str">
        <x:v>02_TIRE_VARIANTS</x:v>
      </x:c>
      <x:c r="B2" s="18" t="str">
        <x:v>model_id</x:v>
      </x:c>
      <x:c r="C2" s="18" t="str">
        <x:v>string</x:v>
      </x:c>
      <x:c r="D2" s="18" t="str">
        <x:v>tire-variants</x:v>
      </x:c>
      <x:c r="E2" s="18" t="str">
        <x:v>model_id</x:v>
      </x:c>
      <x:c r="F2" s="18" t="str">
        <x:v>text</x:v>
      </x:c>
      <x:c r="G2" s="28" t="b">
        <x:v>0</x:v>
      </x:c>
      <x:c r="H2" s="28" t="b">
        <x:v>0</x:v>
      </x:c>
      <x:c r="I2" s="18" t="str"/>
      <x:c r="J2" s="28" t="b">
        <x:v>0</x:v>
      </x:c>
      <x:c r="K2" s="18" t="str">
        <x:v>Рекомендуемое расширение</x:v>
      </x:c>
      <x:c r="L2" s="18" t="str">
        <x:v>main</x:v>
      </x:c>
      <x:c r="M2" s="18" t="str">
        <x:v>optional</x:v>
      </x:c>
      <x:c r="N2" s="18" t="str">
        <x:v>catalogContentHooks</x:v>
      </x:c>
      <x:c r="O2" s="18" t="str">
        <x:v>catalogRead/write access</x:v>
      </x:c>
      <x:c r="P2" s="18" t="str">
        <x:v>add_field_before_import</x:v>
      </x:c>
      <x:c r="Q2" s="18" t="str">
        <x:v>export_plain_value</x:v>
      </x:c>
      <x:c r="R2" s="19" t="str">
        <x:v>Рекомендуемое поле отсутствует в текущей коллекции; требуется миграция схемы.</x:v>
      </x:c>
    </x:row>
    <x:row r="3">
      <x:c r="A3" s="20" t="str">
        <x:v>02_TIRE_VARIANTS</x:v>
      </x:c>
      <x:c r="B3" s="20" t="str">
        <x:v>public_brand</x:v>
      </x:c>
      <x:c r="C3" s="20" t="str">
        <x:v>string</x:v>
      </x:c>
      <x:c r="D3" s="20" t="str">
        <x:v>tire-variants</x:v>
      </x:c>
      <x:c r="E3" s="20" t="str">
        <x:v>public_brand</x:v>
      </x:c>
      <x:c r="F3" s="20" t="str">
        <x:v>text</x:v>
      </x:c>
      <x:c r="G3" s="31" t="b">
        <x:v>0</x:v>
      </x:c>
      <x:c r="H3" s="31" t="b">
        <x:v>0</x:v>
      </x:c>
      <x:c r="I3" s="20" t="str"/>
      <x:c r="J3" s="31" t="b">
        <x:v>0</x:v>
      </x:c>
      <x:c r="K3" s="20" t="str">
        <x:v>Рекомендуемое расширение</x:v>
      </x:c>
      <x:c r="L3" s="20" t="str">
        <x:v>main</x:v>
      </x:c>
      <x:c r="M3" s="20" t="str">
        <x:v>optional</x:v>
      </x:c>
      <x:c r="N3" s="20" t="str">
        <x:v>catalogContentHooks</x:v>
      </x:c>
      <x:c r="O3" s="20" t="str">
        <x:v>catalogRead/write access</x:v>
      </x:c>
      <x:c r="P3" s="20" t="str">
        <x:v>add_field_before_import</x:v>
      </x:c>
      <x:c r="Q3" s="20" t="str">
        <x:v>export_plain_value</x:v>
      </x:c>
      <x:c r="R3" s="19" t="str">
        <x:v>Рекомендуемое поле отсутствует в текущей коллекции; требуется миграция схемы.</x:v>
      </x:c>
    </x:row>
    <x:row r="4">
      <x:c r="A4" s="18" t="str">
        <x:v>02_TIRE_VARIANTS</x:v>
      </x:c>
      <x:c r="B4" s="18" t="str">
        <x:v>source_brand</x:v>
      </x:c>
      <x:c r="C4" s="18" t="str">
        <x:v>string</x:v>
      </x:c>
      <x:c r="D4" s="18" t="str">
        <x:v>tire-variants</x:v>
      </x:c>
      <x:c r="E4" s="18" t="str">
        <x:v>source_brand</x:v>
      </x:c>
      <x:c r="F4" s="18" t="str">
        <x:v>text</x:v>
      </x:c>
      <x:c r="G4" s="28" t="b">
        <x:v>0</x:v>
      </x:c>
      <x:c r="H4" s="28" t="b">
        <x:v>0</x:v>
      </x:c>
      <x:c r="I4" s="18" t="str"/>
      <x:c r="J4" s="28" t="b">
        <x:v>0</x:v>
      </x:c>
      <x:c r="K4" s="18" t="str">
        <x:v>Рекомендуемое расширение</x:v>
      </x:c>
      <x:c r="L4" s="18" t="str">
        <x:v>main</x:v>
      </x:c>
      <x:c r="M4" s="18" t="str">
        <x:v>optional</x:v>
      </x:c>
      <x:c r="N4" s="18" t="str">
        <x:v>catalogContentHooks</x:v>
      </x:c>
      <x:c r="O4" s="18" t="str">
        <x:v>catalogRead/write access</x:v>
      </x:c>
      <x:c r="P4" s="18" t="str">
        <x:v>add_field_before_import</x:v>
      </x:c>
      <x:c r="Q4" s="18" t="str">
        <x:v>export_plain_value</x:v>
      </x:c>
      <x:c r="R4" s="19" t="str">
        <x:v>Рекомендуемое поле отсутствует в текущей коллекции; требуется миграция схемы.</x:v>
      </x:c>
    </x:row>
    <x:row r="5">
      <x:c r="A5" s="20" t="str">
        <x:v>02_TIRE_VARIANTS</x:v>
      </x:c>
      <x:c r="B5" s="20" t="str">
        <x:v>model_code</x:v>
      </x:c>
      <x:c r="C5" s="20" t="str">
        <x:v>string</x:v>
      </x:c>
      <x:c r="D5" s="20" t="str">
        <x:v>tire-models</x:v>
      </x:c>
      <x:c r="E5" s="20" t="str">
        <x:v>name</x:v>
      </x:c>
      <x:c r="F5" s="20" t="str">
        <x:v>text</x:v>
      </x:c>
      <x:c r="G5" s="31" t="b">
        <x:v>1</x:v>
      </x:c>
      <x:c r="H5" s="31" t="b">
        <x:v>0</x:v>
      </x:c>
      <x:c r="I5" s="20" t="str"/>
      <x:c r="J5" s="31" t="b">
        <x:v>0</x:v>
      </x:c>
      <x:c r="K5" s="20" t="str">
        <x:v>Идентификация</x:v>
      </x:c>
      <x:c r="L5" s="20" t="str">
        <x:v>main</x:v>
      </x:c>
      <x:c r="M5" s="20" t="str">
        <x:v>optional</x:v>
      </x:c>
      <x:c r="N5" s="20" t="str">
        <x:v>catalogContentHooks</x:v>
      </x:c>
      <x:c r="O5" s="20" t="str">
        <x:v>catalogRead/write access</x:v>
      </x:c>
      <x:c r="P5" s="20" t="str">
        <x:v>map_to_existing_field</x:v>
      </x:c>
      <x:c r="Q5" s="20" t="str">
        <x:v>export_plain_value</x:v>
      </x:c>
      <x:c r="R5" s="19" t="str">
        <x:v>Подтверждено по текущим TireModels/TireVariants.</x:v>
      </x:c>
    </x:row>
    <x:row r="6">
      <x:c r="A6" s="18" t="str">
        <x:v>02_TIRE_VARIANTS</x:v>
      </x:c>
      <x:c r="B6" s="18" t="str">
        <x:v>slug</x:v>
      </x:c>
      <x:c r="C6" s="18" t="str">
        <x:v>string</x:v>
      </x:c>
      <x:c r="D6" s="18" t="str">
        <x:v>tire-models</x:v>
      </x:c>
      <x:c r="E6" s="18" t="str">
        <x:v>slug</x:v>
      </x:c>
      <x:c r="F6" s="18" t="str">
        <x:v>text</x:v>
      </x:c>
      <x:c r="G6" s="28" t="b">
        <x:v>1</x:v>
      </x:c>
      <x:c r="H6" s="28" t="b">
        <x:v>0</x:v>
      </x:c>
      <x:c r="I6" s="18" t="str"/>
      <x:c r="J6" s="28" t="b">
        <x:v>0</x:v>
      </x:c>
      <x:c r="K6" s="18" t="str">
        <x:v>Идентификация</x:v>
      </x:c>
      <x:c r="L6" s="18" t="str">
        <x:v>main</x:v>
      </x:c>
      <x:c r="M6" s="18" t="str">
        <x:v>optional</x:v>
      </x:c>
      <x:c r="N6" s="18" t="str">
        <x:v>catalogContentHooks</x:v>
      </x:c>
      <x:c r="O6" s="18" t="str">
        <x:v>catalogRead/write access</x:v>
      </x:c>
      <x:c r="P6" s="18" t="str">
        <x:v>map_to_existing_field</x:v>
      </x:c>
      <x:c r="Q6" s="18" t="str">
        <x:v>export_plain_value</x:v>
      </x:c>
      <x:c r="R6" s="19" t="str">
        <x:v>Подтверждено по текущим TireModels/TireVariants.</x:v>
      </x:c>
    </x:row>
    <x:row r="7">
      <x:c r="A7" s="20" t="str">
        <x:v>02_TIRE_VARIANTS</x:v>
      </x:c>
      <x:c r="B7" s="20" t="str">
        <x:v>axle_positions</x:v>
      </x:c>
      <x:c r="C7" s="20" t="str">
        <x:v>array</x:v>
      </x:c>
      <x:c r="D7" s="20" t="str">
        <x:v>tire-models</x:v>
      </x:c>
      <x:c r="E7" s="20" t="str">
        <x:v>selectionAxles</x:v>
      </x:c>
      <x:c r="F7" s="20" t="str">
        <x:v>select</x:v>
      </x:c>
      <x:c r="G7" s="31" t="b">
        <x:v>1</x:v>
      </x:c>
      <x:c r="H7" s="31" t="b">
        <x:v>1</x:v>
      </x:c>
      <x:c r="I7" s="20" t="str"/>
      <x:c r="J7" s="31" t="b">
        <x:v>0</x:v>
      </x:c>
      <x:c r="K7" s="20" t="str">
        <x:v>Позиция и применение</x:v>
      </x:c>
      <x:c r="L7" s="20" t="str">
        <x:v>main</x:v>
      </x:c>
      <x:c r="M7" s="20" t="str">
        <x:v>required</x:v>
      </x:c>
      <x:c r="N7" s="20" t="str">
        <x:v>catalogContentHooks</x:v>
      </x:c>
      <x:c r="O7" s="20" t="str">
        <x:v>catalogRead/write access</x:v>
      </x:c>
      <x:c r="P7" s="20" t="str">
        <x:v>map_to_existing_field</x:v>
      </x:c>
      <x:c r="Q7" s="20" t="str">
        <x:v>export_plain_value</x:v>
      </x:c>
      <x:c r="R7" s="19" t="str">
        <x:v>Подтверждено по текущим TireModels/TireVariants.</x:v>
      </x:c>
    </x:row>
    <x:row r="8">
      <x:c r="A8" s="18" t="str">
        <x:v>02_TIRE_VARIANTS</x:v>
      </x:c>
      <x:c r="B8" s="18" t="str">
        <x:v>application_types</x:v>
      </x:c>
      <x:c r="C8" s="18" t="str">
        <x:v>array</x:v>
      </x:c>
      <x:c r="D8" s="18" t="str">
        <x:v>tire-models</x:v>
      </x:c>
      <x:c r="E8" s="18" t="str">
        <x:v>applicationCategory / selectionConditions</x:v>
      </x:c>
      <x:c r="F8" s="18" t="str">
        <x:v>select</x:v>
      </x:c>
      <x:c r="G8" s="28" t="b">
        <x:v>1</x:v>
      </x:c>
      <x:c r="H8" s="28" t="b">
        <x:v>1</x:v>
      </x:c>
      <x:c r="I8" s="18" t="str"/>
      <x:c r="J8" s="28" t="b">
        <x:v>0</x:v>
      </x:c>
      <x:c r="K8" s="18" t="str">
        <x:v>Позиция и применение</x:v>
      </x:c>
      <x:c r="L8" s="18" t="str">
        <x:v>main</x:v>
      </x:c>
      <x:c r="M8" s="18" t="str">
        <x:v>required</x:v>
      </x:c>
      <x:c r="N8" s="18" t="str">
        <x:v>catalogContentHooks</x:v>
      </x:c>
      <x:c r="O8" s="18" t="str">
        <x:v>catalogRead/write access</x:v>
      </x:c>
      <x:c r="P8" s="18" t="str">
        <x:v>map_to_existing_field</x:v>
      </x:c>
      <x:c r="Q8" s="18" t="str">
        <x:v>export_plain_value</x:v>
      </x:c>
      <x:c r="R8" s="19" t="str">
        <x:v>Подтверждено по текущим TireModels/TireVariants.</x:v>
      </x:c>
    </x:row>
    <x:row r="9">
      <x:c r="A9" s="20" t="str">
        <x:v>02_TIRE_VARIANTS</x:v>
      </x:c>
      <x:c r="B9" s="20" t="str">
        <x:v>performance_features</x:v>
      </x:c>
      <x:c r="C9" s="20" t="str">
        <x:v>array</x:v>
      </x:c>
      <x:c r="D9" s="20" t="str">
        <x:v>tire-models</x:v>
      </x:c>
      <x:c r="E9" s="20" t="str">
        <x:v>advantages</x:v>
      </x:c>
      <x:c r="F9" s="20" t="str">
        <x:v>array</x:v>
      </x:c>
      <x:c r="G9" s="31" t="b">
        <x:v>0</x:v>
      </x:c>
      <x:c r="H9" s="31" t="b">
        <x:v>1</x:v>
      </x:c>
      <x:c r="I9" s="20" t="str"/>
      <x:c r="J9" s="31" t="b">
        <x:v>0</x:v>
      </x:c>
      <x:c r="K9" s="20" t="str">
        <x:v>Контент</x:v>
      </x:c>
      <x:c r="L9" s="20" t="str">
        <x:v>main</x:v>
      </x:c>
      <x:c r="M9" s="20" t="str">
        <x:v>required</x:v>
      </x:c>
      <x:c r="N9" s="20" t="str">
        <x:v>catalogContentHooks</x:v>
      </x:c>
      <x:c r="O9" s="20" t="str">
        <x:v>catalogRead/write access</x:v>
      </x:c>
      <x:c r="P9" s="20" t="str">
        <x:v>map_to_existing_field</x:v>
      </x:c>
      <x:c r="Q9" s="20" t="str">
        <x:v>export_plain_value</x:v>
      </x:c>
      <x:c r="R9" s="19" t="str">
        <x:v>Подтверждено по текущим TireModels/TireVariants.</x:v>
      </x:c>
    </x:row>
    <x:row r="10">
      <x:c r="A10" s="18" t="str">
        <x:v>02_TIRE_VARIANTS</x:v>
      </x:c>
      <x:c r="B10" s="18" t="str">
        <x:v>short_description_ru</x:v>
      </x:c>
      <x:c r="C10" s="18" t="str">
        <x:v>string</x:v>
      </x:c>
      <x:c r="D10" s="18" t="str">
        <x:v>tire-models</x:v>
      </x:c>
      <x:c r="E10" s="18" t="str">
        <x:v>shortDescription</x:v>
      </x:c>
      <x:c r="F10" s="18" t="str">
        <x:v>textarea</x:v>
      </x:c>
      <x:c r="G10" s="28" t="b">
        <x:v>0</x:v>
      </x:c>
      <x:c r="H10" s="28" t="b">
        <x:v>0</x:v>
      </x:c>
      <x:c r="I10" s="18" t="str"/>
      <x:c r="J10" s="28" t="b">
        <x:v>0</x:v>
      </x:c>
      <x:c r="K10" s="18" t="str">
        <x:v>Контент</x:v>
      </x:c>
      <x:c r="L10" s="18" t="str">
        <x:v>main</x:v>
      </x:c>
      <x:c r="M10" s="18" t="str">
        <x:v>optional</x:v>
      </x:c>
      <x:c r="N10" s="18" t="str">
        <x:v>catalogContentHooks</x:v>
      </x:c>
      <x:c r="O10" s="18" t="str">
        <x:v>catalogRead/write access</x:v>
      </x:c>
      <x:c r="P10" s="18" t="str">
        <x:v>map_to_existing_field</x:v>
      </x:c>
      <x:c r="Q10" s="18" t="str">
        <x:v>export_plain_value</x:v>
      </x:c>
      <x:c r="R10" s="19" t="str">
        <x:v>Подтверждено по текущим TireModels/TireVariants.</x:v>
      </x:c>
    </x:row>
    <x:row r="11">
      <x:c r="A11" s="20" t="str">
        <x:v>02_TIRE_VARIANTS</x:v>
      </x:c>
      <x:c r="B11" s="20" t="str">
        <x:v>full_description_ru</x:v>
      </x:c>
      <x:c r="C11" s="20" t="str">
        <x:v>richText</x:v>
      </x:c>
      <x:c r="D11" s="20" t="str">
        <x:v>tire-models</x:v>
      </x:c>
      <x:c r="E11" s="20" t="str">
        <x:v>fullDescription</x:v>
      </x:c>
      <x:c r="F11" s="20" t="str">
        <x:v>richText</x:v>
      </x:c>
      <x:c r="G11" s="31" t="b">
        <x:v>0</x:v>
      </x:c>
      <x:c r="H11" s="31" t="b">
        <x:v>0</x:v>
      </x:c>
      <x:c r="I11" s="20" t="str"/>
      <x:c r="J11" s="31" t="b">
        <x:v>0</x:v>
      </x:c>
      <x:c r="K11" s="20" t="str">
        <x:v>Контент</x:v>
      </x:c>
      <x:c r="L11" s="20" t="str">
        <x:v>main</x:v>
      </x:c>
      <x:c r="M11" s="20" t="str">
        <x:v>optional</x:v>
      </x:c>
      <x:c r="N11" s="20" t="str">
        <x:v>catalogContentHooks</x:v>
      </x:c>
      <x:c r="O11" s="20" t="str">
        <x:v>catalogRead/write access</x:v>
      </x:c>
      <x:c r="P11" s="20" t="str">
        <x:v>map_to_existing_field</x:v>
      </x:c>
      <x:c r="Q11" s="20" t="str">
        <x:v>export_plain_value</x:v>
      </x:c>
      <x:c r="R11" s="19" t="str">
        <x:v>Подтверждено по текущим TireModels/TireVariants.</x:v>
      </x:c>
    </x:row>
    <x:row r="12">
      <x:c r="A12" s="18" t="str">
        <x:v>02_TIRE_VARIANTS</x:v>
      </x:c>
      <x:c r="B12" s="18" t="str">
        <x:v>publication_status</x:v>
      </x:c>
      <x:c r="C12" s="18" t="str">
        <x:v>enum</x:v>
      </x:c>
      <x:c r="D12" s="18" t="str">
        <x:v>tire-models</x:v>
      </x:c>
      <x:c r="E12" s="18" t="str">
        <x:v>status</x:v>
      </x:c>
      <x:c r="F12" s="18" t="str">
        <x:v>select</x:v>
      </x:c>
      <x:c r="G12" s="28" t="b">
        <x:v>1</x:v>
      </x:c>
      <x:c r="H12" s="28" t="b">
        <x:v>0</x:v>
      </x:c>
      <x:c r="I12" s="18" t="str"/>
      <x:c r="J12" s="28" t="b">
        <x:v>0</x:v>
      </x:c>
      <x:c r="K12" s="18" t="str">
        <x:v>Публикация</x:v>
      </x:c>
      <x:c r="L12" s="18" t="str">
        <x:v>main</x:v>
      </x:c>
      <x:c r="M12" s="18" t="str">
        <x:v>required</x:v>
      </x:c>
      <x:c r="N12" s="18" t="str">
        <x:v>catalogContentHooks</x:v>
      </x:c>
      <x:c r="O12" s="18" t="str">
        <x:v>catalogRead/write access</x:v>
      </x:c>
      <x:c r="P12" s="18" t="str">
        <x:v>map_to_existing_field</x:v>
      </x:c>
      <x:c r="Q12" s="18" t="str">
        <x:v>export_plain_value</x:v>
      </x:c>
      <x:c r="R12" s="19" t="str">
        <x:v>Подтверждено по текущим TireModels/TireVariants.</x:v>
      </x:c>
    </x:row>
    <x:row r="13">
      <x:c r="A13" s="20" t="str">
        <x:v>02_TIRE_VARIANTS</x:v>
      </x:c>
      <x:c r="B13" s="20" t="str">
        <x:v>variant_id</x:v>
      </x:c>
      <x:c r="C13" s="20" t="str">
        <x:v>string</x:v>
      </x:c>
      <x:c r="D13" s="20" t="str">
        <x:v>tire-variants</x:v>
      </x:c>
      <x:c r="E13" s="20" t="str">
        <x:v>variant_id</x:v>
      </x:c>
      <x:c r="F13" s="20" t="str">
        <x:v>text</x:v>
      </x:c>
      <x:c r="G13" s="31" t="b">
        <x:v>0</x:v>
      </x:c>
      <x:c r="H13" s="31" t="b">
        <x:v>0</x:v>
      </x:c>
      <x:c r="I13" s="20" t="str"/>
      <x:c r="J13" s="31" t="b">
        <x:v>0</x:v>
      </x:c>
      <x:c r="K13" s="20" t="str">
        <x:v>Рекомендуемое расширение</x:v>
      </x:c>
      <x:c r="L13" s="20" t="str">
        <x:v>main</x:v>
      </x:c>
      <x:c r="M13" s="20" t="str">
        <x:v>optional</x:v>
      </x:c>
      <x:c r="N13" s="20" t="str">
        <x:v>catalogContentHooks</x:v>
      </x:c>
      <x:c r="O13" s="20" t="str">
        <x:v>catalogRead/write access</x:v>
      </x:c>
      <x:c r="P13" s="20" t="str">
        <x:v>add_field_before_import</x:v>
      </x:c>
      <x:c r="Q13" s="20" t="str">
        <x:v>export_plain_value</x:v>
      </x:c>
      <x:c r="R13" s="19" t="str">
        <x:v>Рекомендуемое поле отсутствует в текущей коллекции; требуется миграция схемы.</x:v>
      </x:c>
    </x:row>
    <x:row r="14">
      <x:c r="A14" s="18" t="str">
        <x:v>02_TIRE_VARIANTS</x:v>
      </x:c>
      <x:c r="B14" s="18" t="str">
        <x:v>sku</x:v>
      </x:c>
      <x:c r="C14" s="18" t="str">
        <x:v>string</x:v>
      </x:c>
      <x:c r="D14" s="18" t="str">
        <x:v>tire-variants</x:v>
      </x:c>
      <x:c r="E14" s="18" t="str">
        <x:v>sku</x:v>
      </x:c>
      <x:c r="F14" s="18" t="str">
        <x:v>text</x:v>
      </x:c>
      <x:c r="G14" s="28" t="b">
        <x:v>0</x:v>
      </x:c>
      <x:c r="H14" s="28" t="b">
        <x:v>0</x:v>
      </x:c>
      <x:c r="I14" s="18" t="str"/>
      <x:c r="J14" s="28" t="b">
        <x:v>0</x:v>
      </x:c>
      <x:c r="K14" s="18" t="str">
        <x:v>Рекомендуемое расширение</x:v>
      </x:c>
      <x:c r="L14" s="18" t="str">
        <x:v>main</x:v>
      </x:c>
      <x:c r="M14" s="18" t="str">
        <x:v>optional</x:v>
      </x:c>
      <x:c r="N14" s="18" t="str">
        <x:v>catalogContentHooks</x:v>
      </x:c>
      <x:c r="O14" s="18" t="str">
        <x:v>catalogRead/write access</x:v>
      </x:c>
      <x:c r="P14" s="18" t="str">
        <x:v>add_field_before_import</x:v>
      </x:c>
      <x:c r="Q14" s="18" t="str">
        <x:v>export_plain_value</x:v>
      </x:c>
      <x:c r="R14" s="19" t="str">
        <x:v>Рекомендуемое поле отсутствует в текущей коллекции; требуется миграция схемы.</x:v>
      </x:c>
    </x:row>
    <x:row r="15">
      <x:c r="A15" s="20" t="str">
        <x:v>02_TIRE_VARIANTS</x:v>
      </x:c>
      <x:c r="B15" s="20" t="str">
        <x:v>size_raw</x:v>
      </x:c>
      <x:c r="C15" s="20" t="str">
        <x:v>string</x:v>
      </x:c>
      <x:c r="D15" s="20" t="str">
        <x:v>tire-variants</x:v>
      </x:c>
      <x:c r="E15" s="20" t="str">
        <x:v>size</x:v>
      </x:c>
      <x:c r="F15" s="20" t="str">
        <x:v>text</x:v>
      </x:c>
      <x:c r="G15" s="31" t="b">
        <x:v>1</x:v>
      </x:c>
      <x:c r="H15" s="31" t="b">
        <x:v>0</x:v>
      </x:c>
      <x:c r="I15" s="20" t="str"/>
      <x:c r="J15" s="31" t="b">
        <x:v>0</x:v>
      </x:c>
      <x:c r="K15" s="20" t="str">
        <x:v>Типоразмер</x:v>
      </x:c>
      <x:c r="L15" s="20" t="str">
        <x:v>main</x:v>
      </x:c>
      <x:c r="M15" s="20" t="str">
        <x:v>optional</x:v>
      </x:c>
      <x:c r="N15" s="20" t="str">
        <x:v>catalogContentHooks</x:v>
      </x:c>
      <x:c r="O15" s="20" t="str">
        <x:v>catalogRead/write access</x:v>
      </x:c>
      <x:c r="P15" s="20" t="str">
        <x:v>map_to_existing_field</x:v>
      </x:c>
      <x:c r="Q15" s="20" t="str">
        <x:v>export_plain_value</x:v>
      </x:c>
      <x:c r="R15" s="19" t="str">
        <x:v>Подтверждено по текущим TireModels/TireVariants.</x:v>
      </x:c>
    </x:row>
    <x:row r="16">
      <x:c r="A16" s="18" t="str">
        <x:v>02_TIRE_VARIANTS</x:v>
      </x:c>
      <x:c r="B16" s="18" t="str">
        <x:v>size_format</x:v>
      </x:c>
      <x:c r="C16" s="18" t="str">
        <x:v>enum</x:v>
      </x:c>
      <x:c r="D16" s="18" t="str">
        <x:v>tire-variants</x:v>
      </x:c>
      <x:c r="E16" s="18" t="str">
        <x:v>size_format</x:v>
      </x:c>
      <x:c r="F16" s="18" t="str">
        <x:v>text</x:v>
      </x:c>
      <x:c r="G16" s="28" t="b">
        <x:v>1</x:v>
      </x:c>
      <x:c r="H16" s="28" t="b">
        <x:v>0</x:v>
      </x:c>
      <x:c r="I16" s="18" t="str"/>
      <x:c r="J16" s="28" t="b">
        <x:v>0</x:v>
      </x:c>
      <x:c r="K16" s="18" t="str">
        <x:v>Рекомендуемое расширение</x:v>
      </x:c>
      <x:c r="L16" s="18" t="str">
        <x:v>main</x:v>
      </x:c>
      <x:c r="M16" s="18" t="str">
        <x:v>required</x:v>
      </x:c>
      <x:c r="N16" s="18" t="str">
        <x:v>catalogContentHooks</x:v>
      </x:c>
      <x:c r="O16" s="18" t="str">
        <x:v>catalogRead/write access</x:v>
      </x:c>
      <x:c r="P16" s="18" t="str">
        <x:v>add_field_before_import</x:v>
      </x:c>
      <x:c r="Q16" s="18" t="str">
        <x:v>export_plain_value</x:v>
      </x:c>
      <x:c r="R16" s="19" t="str">
        <x:v>Рекомендуемое поле отсутствует в текущей коллекции; требуется миграция схемы.</x:v>
      </x:c>
    </x:row>
    <x:row r="17">
      <x:c r="A17" s="20" t="str">
        <x:v>02_TIRE_VARIANTS</x:v>
      </x:c>
      <x:c r="B17" s="20" t="str">
        <x:v>nominal_width_mm</x:v>
      </x:c>
      <x:c r="C17" s="20" t="str">
        <x:v>integer</x:v>
      </x:c>
      <x:c r="D17" s="20" t="str">
        <x:v>tire-variants</x:v>
      </x:c>
      <x:c r="E17" s="20" t="str">
        <x:v>sectionWidth</x:v>
      </x:c>
      <x:c r="F17" s="20" t="str">
        <x:v>number</x:v>
      </x:c>
      <x:c r="G17" s="31" t="b">
        <x:v>0</x:v>
      </x:c>
      <x:c r="H17" s="31" t="b">
        <x:v>0</x:v>
      </x:c>
      <x:c r="I17" s="20" t="str"/>
      <x:c r="J17" s="31" t="b">
        <x:v>0</x:v>
      </x:c>
      <x:c r="K17" s="20" t="str">
        <x:v>Типоразмер</x:v>
      </x:c>
      <x:c r="L17" s="20" t="str">
        <x:v>main</x:v>
      </x:c>
      <x:c r="M17" s="20" t="str">
        <x:v>required</x:v>
      </x:c>
      <x:c r="N17" s="20" t="str">
        <x:v>catalogContentHooks</x:v>
      </x:c>
      <x:c r="O17" s="20" t="str">
        <x:v>catalogRead/write access</x:v>
      </x:c>
      <x:c r="P17" s="20" t="str">
        <x:v>map_to_existing_field</x:v>
      </x:c>
      <x:c r="Q17" s="20" t="str">
        <x:v>export_plain_value</x:v>
      </x:c>
      <x:c r="R17" s="19" t="str">
        <x:v>Подтверждено по текущим TireModels/TireVariants.</x:v>
      </x:c>
    </x:row>
    <x:row r="18">
      <x:c r="A18" s="18" t="str">
        <x:v>02_TIRE_VARIANTS</x:v>
      </x:c>
      <x:c r="B18" s="18" t="str">
        <x:v>imperial_width_in</x:v>
      </x:c>
      <x:c r="C18" s="18" t="str">
        <x:v>decimal</x:v>
      </x:c>
      <x:c r="D18" s="18" t="str">
        <x:v>tire-variants</x:v>
      </x:c>
      <x:c r="E18" s="18" t="str">
        <x:v>imperial_width_in</x:v>
      </x:c>
      <x:c r="F18" s="18" t="str">
        <x:v>text</x:v>
      </x:c>
      <x:c r="G18" s="28" t="b">
        <x:v>1</x:v>
      </x:c>
      <x:c r="H18" s="28" t="b">
        <x:v>0</x:v>
      </x:c>
      <x:c r="I18" s="18" t="str"/>
      <x:c r="J18" s="28" t="b">
        <x:v>0</x:v>
      </x:c>
      <x:c r="K18" s="18" t="str">
        <x:v>Рекомендуемое расширение</x:v>
      </x:c>
      <x:c r="L18" s="18" t="str">
        <x:v>main</x:v>
      </x:c>
      <x:c r="M18" s="18" t="str">
        <x:v>required</x:v>
      </x:c>
      <x:c r="N18" s="18" t="str">
        <x:v>catalogContentHooks</x:v>
      </x:c>
      <x:c r="O18" s="18" t="str">
        <x:v>catalogRead/write access</x:v>
      </x:c>
      <x:c r="P18" s="18" t="str">
        <x:v>add_field_before_import</x:v>
      </x:c>
      <x:c r="Q18" s="18" t="str">
        <x:v>export_plain_value</x:v>
      </x:c>
      <x:c r="R18" s="19" t="str">
        <x:v>Рекомендуемое поле отсутствует в текущей коллекции; требуется миграция схемы.</x:v>
      </x:c>
    </x:row>
    <x:row r="19">
      <x:c r="A19" s="20" t="str">
        <x:v>02_TIRE_VARIANTS</x:v>
      </x:c>
      <x:c r="B19" s="20" t="str">
        <x:v>aspect_ratio_pct</x:v>
      </x:c>
      <x:c r="C19" s="20" t="str">
        <x:v>integer</x:v>
      </x:c>
      <x:c r="D19" s="20" t="str">
        <x:v>tire-variants</x:v>
      </x:c>
      <x:c r="E19" s="20" t="str">
        <x:v>aspectRatio</x:v>
      </x:c>
      <x:c r="F19" s="20" t="str">
        <x:v>number</x:v>
      </x:c>
      <x:c r="G19" s="31" t="b">
        <x:v>0</x:v>
      </x:c>
      <x:c r="H19" s="31" t="b">
        <x:v>0</x:v>
      </x:c>
      <x:c r="I19" s="20" t="str"/>
      <x:c r="J19" s="31" t="b">
        <x:v>0</x:v>
      </x:c>
      <x:c r="K19" s="20" t="str">
        <x:v>Типоразмер</x:v>
      </x:c>
      <x:c r="L19" s="20" t="str">
        <x:v>main</x:v>
      </x:c>
      <x:c r="M19" s="20" t="str">
        <x:v>required</x:v>
      </x:c>
      <x:c r="N19" s="20" t="str">
        <x:v>catalogContentHooks</x:v>
      </x:c>
      <x:c r="O19" s="20" t="str">
        <x:v>catalogRead/write access</x:v>
      </x:c>
      <x:c r="P19" s="20" t="str">
        <x:v>map_to_existing_field</x:v>
      </x:c>
      <x:c r="Q19" s="20" t="str">
        <x:v>export_plain_value</x:v>
      </x:c>
      <x:c r="R19" s="19" t="str">
        <x:v>Подтверждено по текущим TireModels/TireVariants.</x:v>
      </x:c>
    </x:row>
    <x:row r="20">
      <x:c r="A20" s="18" t="str">
        <x:v>02_TIRE_VARIANTS</x:v>
      </x:c>
      <x:c r="B20" s="18" t="str">
        <x:v>construction_code</x:v>
      </x:c>
      <x:c r="C20" s="18" t="str">
        <x:v>enum</x:v>
      </x:c>
      <x:c r="D20" s="18" t="str">
        <x:v>tire-variants</x:v>
      </x:c>
      <x:c r="E20" s="18" t="str">
        <x:v>construction_code</x:v>
      </x:c>
      <x:c r="F20" s="18" t="str">
        <x:v>text</x:v>
      </x:c>
      <x:c r="G20" s="28" t="b">
        <x:v>1</x:v>
      </x:c>
      <x:c r="H20" s="28" t="b">
        <x:v>0</x:v>
      </x:c>
      <x:c r="I20" s="18" t="str"/>
      <x:c r="J20" s="28" t="b">
        <x:v>0</x:v>
      </x:c>
      <x:c r="K20" s="18" t="str">
        <x:v>Рекомендуемое расширение</x:v>
      </x:c>
      <x:c r="L20" s="18" t="str">
        <x:v>main</x:v>
      </x:c>
      <x:c r="M20" s="18" t="str">
        <x:v>required</x:v>
      </x:c>
      <x:c r="N20" s="18" t="str">
        <x:v>catalogContentHooks</x:v>
      </x:c>
      <x:c r="O20" s="18" t="str">
        <x:v>catalogRead/write access</x:v>
      </x:c>
      <x:c r="P20" s="18" t="str">
        <x:v>add_field_before_import</x:v>
      </x:c>
      <x:c r="Q20" s="18" t="str">
        <x:v>export_plain_value</x:v>
      </x:c>
      <x:c r="R20" s="19" t="str">
        <x:v>Рекомендуемое поле отсутствует в текущей коллекции; требуется миграция схемы.</x:v>
      </x:c>
    </x:row>
    <x:row r="21">
      <x:c r="A21" s="20" t="str">
        <x:v>02_TIRE_VARIANTS</x:v>
      </x:c>
      <x:c r="B21" s="20" t="str">
        <x:v>rim_diameter_in</x:v>
      </x:c>
      <x:c r="C21" s="20" t="str">
        <x:v>decimal</x:v>
      </x:c>
      <x:c r="D21" s="20" t="str">
        <x:v>tire-variants</x:v>
      </x:c>
      <x:c r="E21" s="20" t="str">
        <x:v>rimDiameter</x:v>
      </x:c>
      <x:c r="F21" s="20" t="str">
        <x:v>number</x:v>
      </x:c>
      <x:c r="G21" s="31" t="b">
        <x:v>0</x:v>
      </x:c>
      <x:c r="H21" s="31" t="b">
        <x:v>0</x:v>
      </x:c>
      <x:c r="I21" s="20" t="str"/>
      <x:c r="J21" s="31" t="b">
        <x:v>0</x:v>
      </x:c>
      <x:c r="K21" s="20" t="str">
        <x:v>Типоразмер</x:v>
      </x:c>
      <x:c r="L21" s="20" t="str">
        <x:v>main</x:v>
      </x:c>
      <x:c r="M21" s="20" t="str">
        <x:v>required</x:v>
      </x:c>
      <x:c r="N21" s="20" t="str">
        <x:v>catalogContentHooks</x:v>
      </x:c>
      <x:c r="O21" s="20" t="str">
        <x:v>catalogRead/write access</x:v>
      </x:c>
      <x:c r="P21" s="20" t="str">
        <x:v>map_to_existing_field</x:v>
      </x:c>
      <x:c r="Q21" s="20" t="str">
        <x:v>export_plain_value</x:v>
      </x:c>
      <x:c r="R21" s="19" t="str">
        <x:v>Подтверждено по текущим TireModels/TireVariants.</x:v>
      </x:c>
    </x:row>
    <x:row r="22">
      <x:c r="A22" s="18" t="str">
        <x:v>02_TIRE_VARIANTS</x:v>
      </x:c>
      <x:c r="B22" s="18" t="str">
        <x:v>ply_rating_pr</x:v>
      </x:c>
      <x:c r="C22" s="18" t="str">
        <x:v>integer</x:v>
      </x:c>
      <x:c r="D22" s="18" t="str">
        <x:v>tire-variants</x:v>
      </x:c>
      <x:c r="E22" s="18" t="str">
        <x:v>plyRating</x:v>
      </x:c>
      <x:c r="F22" s="18" t="str">
        <x:v>text</x:v>
      </x:c>
      <x:c r="G22" s="28" t="b">
        <x:v>0</x:v>
      </x:c>
      <x:c r="H22" s="28" t="b">
        <x:v>0</x:v>
      </x:c>
      <x:c r="I22" s="18" t="str"/>
      <x:c r="J22" s="28" t="b">
        <x:v>0</x:v>
      </x:c>
      <x:c r="K22" s="18" t="str">
        <x:v>Конструкция</x:v>
      </x:c>
      <x:c r="L22" s="18" t="str">
        <x:v>main</x:v>
      </x:c>
      <x:c r="M22" s="18" t="str">
        <x:v>required</x:v>
      </x:c>
      <x:c r="N22" s="18" t="str">
        <x:v>catalogContentHooks</x:v>
      </x:c>
      <x:c r="O22" s="18" t="str">
        <x:v>catalogRead/write access</x:v>
      </x:c>
      <x:c r="P22" s="18" t="str">
        <x:v>map_to_existing_field</x:v>
      </x:c>
      <x:c r="Q22" s="18" t="str">
        <x:v>export_plain_value</x:v>
      </x:c>
      <x:c r="R22" s="19" t="str">
        <x:v>Подтверждено по текущим TireModels/TireVariants.</x:v>
      </x:c>
    </x:row>
    <x:row r="23">
      <x:c r="A23" s="20" t="str">
        <x:v>02_TIRE_VARIANTS</x:v>
      </x:c>
      <x:c r="B23" s="20" t="str">
        <x:v>tread_depth_mm</x:v>
      </x:c>
      <x:c r="C23" s="20" t="str">
        <x:v>decimal</x:v>
      </x:c>
      <x:c r="D23" s="20" t="str">
        <x:v>tire-variants</x:v>
      </x:c>
      <x:c r="E23" s="20" t="str">
        <x:v>tread_depth_mm</x:v>
      </x:c>
      <x:c r="F23" s="20" t="str">
        <x:v>text</x:v>
      </x:c>
      <x:c r="G23" s="31" t="b">
        <x:v>1</x:v>
      </x:c>
      <x:c r="H23" s="31" t="b">
        <x:v>0</x:v>
      </x:c>
      <x:c r="I23" s="20" t="str"/>
      <x:c r="J23" s="31" t="b">
        <x:v>0</x:v>
      </x:c>
      <x:c r="K23" s="20" t="str">
        <x:v>Рекомендуемое расширение</x:v>
      </x:c>
      <x:c r="L23" s="20" t="str">
        <x:v>main</x:v>
      </x:c>
      <x:c r="M23" s="20" t="str">
        <x:v>required</x:v>
      </x:c>
      <x:c r="N23" s="20" t="str">
        <x:v>catalogContentHooks</x:v>
      </x:c>
      <x:c r="O23" s="20" t="str">
        <x:v>catalogRead/write access</x:v>
      </x:c>
      <x:c r="P23" s="20" t="str">
        <x:v>add_field_before_import</x:v>
      </x:c>
      <x:c r="Q23" s="20" t="str">
        <x:v>export_plain_value</x:v>
      </x:c>
      <x:c r="R23" s="19" t="str">
        <x:v>Рекомендуемое поле отсутствует в текущей коллекции; требуется миграция схемы.</x:v>
      </x:c>
    </x:row>
    <x:row r="24">
      <x:c r="A24" s="18" t="str">
        <x:v>02_TIRE_VARIANTS</x:v>
      </x:c>
      <x:c r="B24" s="18" t="str">
        <x:v>standard_rim_in</x:v>
      </x:c>
      <x:c r="C24" s="18" t="str">
        <x:v>decimal</x:v>
      </x:c>
      <x:c r="D24" s="18" t="str">
        <x:v>tire-variants</x:v>
      </x:c>
      <x:c r="E24" s="18" t="str">
        <x:v>recommendedRim</x:v>
      </x:c>
      <x:c r="F24" s="18" t="str">
        <x:v>text</x:v>
      </x:c>
      <x:c r="G24" s="28" t="b">
        <x:v>0</x:v>
      </x:c>
      <x:c r="H24" s="28" t="b">
        <x:v>0</x:v>
      </x:c>
      <x:c r="I24" s="18" t="str"/>
      <x:c r="J24" s="28" t="b">
        <x:v>0</x:v>
      </x:c>
      <x:c r="K24" s="18" t="str">
        <x:v>Конструкция</x:v>
      </x:c>
      <x:c r="L24" s="18" t="str">
        <x:v>main</x:v>
      </x:c>
      <x:c r="M24" s="18" t="str">
        <x:v>required</x:v>
      </x:c>
      <x:c r="N24" s="18" t="str">
        <x:v>catalogContentHooks</x:v>
      </x:c>
      <x:c r="O24" s="18" t="str">
        <x:v>catalogRead/write access</x:v>
      </x:c>
      <x:c r="P24" s="18" t="str">
        <x:v>map_to_existing_field</x:v>
      </x:c>
      <x:c r="Q24" s="18" t="str">
        <x:v>export_plain_value</x:v>
      </x:c>
      <x:c r="R24" s="19" t="str">
        <x:v>Подтверждено по текущим TireModels/TireVariants.</x:v>
      </x:c>
    </x:row>
    <x:row r="25">
      <x:c r="A25" s="20" t="str">
        <x:v>02_TIRE_VARIANTS</x:v>
      </x:c>
      <x:c r="B25" s="20" t="str">
        <x:v>pressure_single_kpa</x:v>
      </x:c>
      <x:c r="C25" s="20" t="str">
        <x:v>decimal</x:v>
      </x:c>
      <x:c r="D25" s="20" t="str">
        <x:v>tire-variants</x:v>
      </x:c>
      <x:c r="E25" s="20" t="str">
        <x:v>pressure_single_kpa</x:v>
      </x:c>
      <x:c r="F25" s="20" t="str">
        <x:v>text</x:v>
      </x:c>
      <x:c r="G25" s="31" t="b">
        <x:v>1</x:v>
      </x:c>
      <x:c r="H25" s="31" t="b">
        <x:v>0</x:v>
      </x:c>
      <x:c r="I25" s="20" t="str"/>
      <x:c r="J25" s="31" t="b">
        <x:v>0</x:v>
      </x:c>
      <x:c r="K25" s="20" t="str">
        <x:v>Рекомендуемое расширение</x:v>
      </x:c>
      <x:c r="L25" s="20" t="str">
        <x:v>main</x:v>
      </x:c>
      <x:c r="M25" s="20" t="str">
        <x:v>required</x:v>
      </x:c>
      <x:c r="N25" s="20" t="str">
        <x:v>catalogContentHooks</x:v>
      </x:c>
      <x:c r="O25" s="20" t="str">
        <x:v>catalogRead/write access</x:v>
      </x:c>
      <x:c r="P25" s="20" t="str">
        <x:v>add_field_before_import</x:v>
      </x:c>
      <x:c r="Q25" s="20" t="str">
        <x:v>export_plain_value</x:v>
      </x:c>
      <x:c r="R25" s="19" t="str">
        <x:v>Рекомендуемое поле отсутствует в текущей коллекции; требуется миграция схемы.</x:v>
      </x:c>
    </x:row>
    <x:row r="26">
      <x:c r="A26" s="18" t="str">
        <x:v>02_TIRE_VARIANTS</x:v>
      </x:c>
      <x:c r="B26" s="18" t="str">
        <x:v>pressure_dual_kpa</x:v>
      </x:c>
      <x:c r="C26" s="18" t="str">
        <x:v>decimal</x:v>
      </x:c>
      <x:c r="D26" s="18" t="str">
        <x:v>tire-variants</x:v>
      </x:c>
      <x:c r="E26" s="18" t="str">
        <x:v>pressure_dual_kpa</x:v>
      </x:c>
      <x:c r="F26" s="18" t="str">
        <x:v>text</x:v>
      </x:c>
      <x:c r="G26" s="28" t="b">
        <x:v>1</x:v>
      </x:c>
      <x:c r="H26" s="28" t="b">
        <x:v>0</x:v>
      </x:c>
      <x:c r="I26" s="18" t="str"/>
      <x:c r="J26" s="28" t="b">
        <x:v>0</x:v>
      </x:c>
      <x:c r="K26" s="18" t="str">
        <x:v>Рекомендуемое расширение</x:v>
      </x:c>
      <x:c r="L26" s="18" t="str">
        <x:v>main</x:v>
      </x:c>
      <x:c r="M26" s="18" t="str">
        <x:v>required</x:v>
      </x:c>
      <x:c r="N26" s="18" t="str">
        <x:v>catalogContentHooks</x:v>
      </x:c>
      <x:c r="O26" s="18" t="str">
        <x:v>catalogRead/write access</x:v>
      </x:c>
      <x:c r="P26" s="18" t="str">
        <x:v>add_field_before_import</x:v>
      </x:c>
      <x:c r="Q26" s="18" t="str">
        <x:v>export_plain_value</x:v>
      </x:c>
      <x:c r="R26" s="19" t="str">
        <x:v>Рекомендуемое поле отсутствует в текущей коллекции; требуется миграция схемы.</x:v>
      </x:c>
    </x:row>
    <x:row r="27">
      <x:c r="A27" s="20" t="str">
        <x:v>02_TIRE_VARIANTS</x:v>
      </x:c>
      <x:c r="B27" s="20" t="str">
        <x:v>max_load_single_kg</x:v>
      </x:c>
      <x:c r="C27" s="20" t="str">
        <x:v>integer</x:v>
      </x:c>
      <x:c r="D27" s="20" t="str">
        <x:v>tire-variants</x:v>
      </x:c>
      <x:c r="E27" s="20" t="str">
        <x:v>max_load_single_kg</x:v>
      </x:c>
      <x:c r="F27" s="20" t="str">
        <x:v>text</x:v>
      </x:c>
      <x:c r="G27" s="31" t="b">
        <x:v>1</x:v>
      </x:c>
      <x:c r="H27" s="31" t="b">
        <x:v>0</x:v>
      </x:c>
      <x:c r="I27" s="20" t="str"/>
      <x:c r="J27" s="31" t="b">
        <x:v>0</x:v>
      </x:c>
      <x:c r="K27" s="20" t="str">
        <x:v>Рекомендуемое расширение</x:v>
      </x:c>
      <x:c r="L27" s="20" t="str">
        <x:v>main</x:v>
      </x:c>
      <x:c r="M27" s="20" t="str">
        <x:v>required</x:v>
      </x:c>
      <x:c r="N27" s="20" t="str">
        <x:v>catalogContentHooks</x:v>
      </x:c>
      <x:c r="O27" s="20" t="str">
        <x:v>catalogRead/write access</x:v>
      </x:c>
      <x:c r="P27" s="20" t="str">
        <x:v>add_field_before_import</x:v>
      </x:c>
      <x:c r="Q27" s="20" t="str">
        <x:v>export_plain_value</x:v>
      </x:c>
      <x:c r="R27" s="19" t="str">
        <x:v>Рекомендуемое поле отсутствует в текущей коллекции; требуется миграция схемы.</x:v>
      </x:c>
    </x:row>
    <x:row r="28">
      <x:c r="A28" s="18" t="str">
        <x:v>02_TIRE_VARIANTS</x:v>
      </x:c>
      <x:c r="B28" s="18" t="str">
        <x:v>max_load_dual_kg</x:v>
      </x:c>
      <x:c r="C28" s="18" t="str">
        <x:v>integer</x:v>
      </x:c>
      <x:c r="D28" s="18" t="str">
        <x:v>tire-variants</x:v>
      </x:c>
      <x:c r="E28" s="18" t="str">
        <x:v>max_load_dual_kg</x:v>
      </x:c>
      <x:c r="F28" s="18" t="str">
        <x:v>text</x:v>
      </x:c>
      <x:c r="G28" s="28" t="b">
        <x:v>1</x:v>
      </x:c>
      <x:c r="H28" s="28" t="b">
        <x:v>0</x:v>
      </x:c>
      <x:c r="I28" s="18" t="str"/>
      <x:c r="J28" s="28" t="b">
        <x:v>0</x:v>
      </x:c>
      <x:c r="K28" s="18" t="str">
        <x:v>Рекомендуемое расширение</x:v>
      </x:c>
      <x:c r="L28" s="18" t="str">
        <x:v>main</x:v>
      </x:c>
      <x:c r="M28" s="18" t="str">
        <x:v>required</x:v>
      </x:c>
      <x:c r="N28" s="18" t="str">
        <x:v>catalogContentHooks</x:v>
      </x:c>
      <x:c r="O28" s="18" t="str">
        <x:v>catalogRead/write access</x:v>
      </x:c>
      <x:c r="P28" s="18" t="str">
        <x:v>add_field_before_import</x:v>
      </x:c>
      <x:c r="Q28" s="18" t="str">
        <x:v>export_plain_value</x:v>
      </x:c>
      <x:c r="R28" s="19" t="str">
        <x:v>Рекомендуемое поле отсутствует в текущей коллекции; требуется миграция схемы.</x:v>
      </x:c>
    </x:row>
    <x:row r="29">
      <x:c r="A29" s="20" t="str">
        <x:v>02_TIRE_VARIANTS</x:v>
      </x:c>
      <x:c r="B29" s="20" t="str">
        <x:v>load_index_single</x:v>
      </x:c>
      <x:c r="C29" s="20" t="str">
        <x:v>integer</x:v>
      </x:c>
      <x:c r="D29" s="20" t="str">
        <x:v>tire-variants</x:v>
      </x:c>
      <x:c r="E29" s="20" t="str">
        <x:v>loadIndex</x:v>
      </x:c>
      <x:c r="F29" s="20" t="str">
        <x:v>text</x:v>
      </x:c>
      <x:c r="G29" s="31" t="b">
        <x:v>0</x:v>
      </x:c>
      <x:c r="H29" s="31" t="b">
        <x:v>0</x:v>
      </x:c>
      <x:c r="I29" s="20" t="str"/>
      <x:c r="J29" s="31" t="b">
        <x:v>0</x:v>
      </x:c>
      <x:c r="K29" s="20" t="str">
        <x:v>Нагрузка и скорость</x:v>
      </x:c>
      <x:c r="L29" s="20" t="str">
        <x:v>main</x:v>
      </x:c>
      <x:c r="M29" s="20" t="str">
        <x:v>optional</x:v>
      </x:c>
      <x:c r="N29" s="20" t="str">
        <x:v>catalogContentHooks</x:v>
      </x:c>
      <x:c r="O29" s="20" t="str">
        <x:v>catalogRead/write access</x:v>
      </x:c>
      <x:c r="P29" s="20" t="str">
        <x:v>map_to_existing_field</x:v>
      </x:c>
      <x:c r="Q29" s="20" t="str">
        <x:v>export_plain_value</x:v>
      </x:c>
      <x:c r="R29" s="19" t="str">
        <x:v>Подтверждено по текущим TireModels/TireVariants.</x:v>
      </x:c>
    </x:row>
    <x:row r="30">
      <x:c r="A30" s="18" t="str">
        <x:v>02_TIRE_VARIANTS</x:v>
      </x:c>
      <x:c r="B30" s="18" t="str">
        <x:v>load_index_dual</x:v>
      </x:c>
      <x:c r="C30" s="18" t="str">
        <x:v>integer</x:v>
      </x:c>
      <x:c r="D30" s="18" t="str">
        <x:v>tire-variants</x:v>
      </x:c>
      <x:c r="E30" s="18" t="str">
        <x:v>load_index_dual</x:v>
      </x:c>
      <x:c r="F30" s="18" t="str">
        <x:v>text</x:v>
      </x:c>
      <x:c r="G30" s="28" t="b">
        <x:v>0</x:v>
      </x:c>
      <x:c r="H30" s="28" t="b">
        <x:v>0</x:v>
      </x:c>
      <x:c r="I30" s="18" t="str"/>
      <x:c r="J30" s="28" t="b">
        <x:v>0</x:v>
      </x:c>
      <x:c r="K30" s="18" t="str">
        <x:v>Рекомендуемое расширение</x:v>
      </x:c>
      <x:c r="L30" s="18" t="str">
        <x:v>main</x:v>
      </x:c>
      <x:c r="M30" s="18" t="str">
        <x:v>optional</x:v>
      </x:c>
      <x:c r="N30" s="18" t="str">
        <x:v>catalogContentHooks</x:v>
      </x:c>
      <x:c r="O30" s="18" t="str">
        <x:v>catalogRead/write access</x:v>
      </x:c>
      <x:c r="P30" s="18" t="str">
        <x:v>add_field_before_import</x:v>
      </x:c>
      <x:c r="Q30" s="18" t="str">
        <x:v>export_plain_value</x:v>
      </x:c>
      <x:c r="R30" s="19" t="str">
        <x:v>Рекомендуемое поле отсутствует в текущей коллекции; требуется миграция схемы.</x:v>
      </x:c>
    </x:row>
    <x:row r="31">
      <x:c r="A31" s="20" t="str">
        <x:v>02_TIRE_VARIANTS</x:v>
      </x:c>
      <x:c r="B31" s="20" t="str">
        <x:v>speed_symbol</x:v>
      </x:c>
      <x:c r="C31" s="20" t="str">
        <x:v>enum</x:v>
      </x:c>
      <x:c r="D31" s="20" t="str">
        <x:v>tire-variants</x:v>
      </x:c>
      <x:c r="E31" s="20" t="str">
        <x:v>speedIndex</x:v>
      </x:c>
      <x:c r="F31" s="20" t="str">
        <x:v>text</x:v>
      </x:c>
      <x:c r="G31" s="31" t="b">
        <x:v>0</x:v>
      </x:c>
      <x:c r="H31" s="31" t="b">
        <x:v>0</x:v>
      </x:c>
      <x:c r="I31" s="20" t="str"/>
      <x:c r="J31" s="31" t="b">
        <x:v>0</x:v>
      </x:c>
      <x:c r="K31" s="20" t="str">
        <x:v>Нагрузка и скорость</x:v>
      </x:c>
      <x:c r="L31" s="20" t="str">
        <x:v>main</x:v>
      </x:c>
      <x:c r="M31" s="20" t="str">
        <x:v>required</x:v>
      </x:c>
      <x:c r="N31" s="20" t="str">
        <x:v>catalogContentHooks</x:v>
      </x:c>
      <x:c r="O31" s="20" t="str">
        <x:v>catalogRead/write access</x:v>
      </x:c>
      <x:c r="P31" s="20" t="str">
        <x:v>map_to_existing_field</x:v>
      </x:c>
      <x:c r="Q31" s="20" t="str">
        <x:v>export_plain_value</x:v>
      </x:c>
      <x:c r="R31" s="19" t="str">
        <x:v>Подтверждено по текущим TireModels/TireVariants.</x:v>
      </x:c>
    </x:row>
    <x:row r="32">
      <x:c r="A32" s="18" t="str">
        <x:v>02_TIRE_VARIANTS</x:v>
      </x:c>
      <x:c r="B32" s="18" t="str">
        <x:v>overall_diameter_mm</x:v>
      </x:c>
      <x:c r="C32" s="18" t="str">
        <x:v>integer</x:v>
      </x:c>
      <x:c r="D32" s="18" t="str">
        <x:v>tire-variants</x:v>
      </x:c>
      <x:c r="E32" s="18" t="str">
        <x:v>overallDiameter</x:v>
      </x:c>
      <x:c r="F32" s="18" t="str">
        <x:v>number</x:v>
      </x:c>
      <x:c r="G32" s="28" t="b">
        <x:v>0</x:v>
      </x:c>
      <x:c r="H32" s="28" t="b">
        <x:v>0</x:v>
      </x:c>
      <x:c r="I32" s="18" t="str"/>
      <x:c r="J32" s="28" t="b">
        <x:v>0</x:v>
      </x:c>
      <x:c r="K32" s="18" t="str">
        <x:v>Геометрия</x:v>
      </x:c>
      <x:c r="L32" s="18" t="str">
        <x:v>main</x:v>
      </x:c>
      <x:c r="M32" s="18" t="str">
        <x:v>required</x:v>
      </x:c>
      <x:c r="N32" s="18" t="str">
        <x:v>catalogContentHooks</x:v>
      </x:c>
      <x:c r="O32" s="18" t="str">
        <x:v>catalogRead/write access</x:v>
      </x:c>
      <x:c r="P32" s="18" t="str">
        <x:v>map_to_existing_field</x:v>
      </x:c>
      <x:c r="Q32" s="18" t="str">
        <x:v>export_plain_value</x:v>
      </x:c>
      <x:c r="R32" s="19" t="str">
        <x:v>Подтверждено по текущим TireModels/TireVariants.</x:v>
      </x:c>
    </x:row>
    <x:row r="33">
      <x:c r="A33" s="20" t="str">
        <x:v>02_TIRE_VARIANTS</x:v>
      </x:c>
      <x:c r="B33" s="20" t="str">
        <x:v>section_width_mm</x:v>
      </x:c>
      <x:c r="C33" s="20" t="str">
        <x:v>integer</x:v>
      </x:c>
      <x:c r="D33" s="20" t="str">
        <x:v>tire-variants</x:v>
      </x:c>
      <x:c r="E33" s="20" t="str">
        <x:v>section_width_mm</x:v>
      </x:c>
      <x:c r="F33" s="20" t="str">
        <x:v>text</x:v>
      </x:c>
      <x:c r="G33" s="31" t="b">
        <x:v>1</x:v>
      </x:c>
      <x:c r="H33" s="31" t="b">
        <x:v>0</x:v>
      </x:c>
      <x:c r="I33" s="20" t="str"/>
      <x:c r="J33" s="31" t="b">
        <x:v>0</x:v>
      </x:c>
      <x:c r="K33" s="20" t="str">
        <x:v>Рекомендуемое расширение</x:v>
      </x:c>
      <x:c r="L33" s="20" t="str">
        <x:v>main</x:v>
      </x:c>
      <x:c r="M33" s="20" t="str">
        <x:v>required</x:v>
      </x:c>
      <x:c r="N33" s="20" t="str">
        <x:v>catalogContentHooks</x:v>
      </x:c>
      <x:c r="O33" s="20" t="str">
        <x:v>catalogRead/write access</x:v>
      </x:c>
      <x:c r="P33" s="20" t="str">
        <x:v>add_field_before_import</x:v>
      </x:c>
      <x:c r="Q33" s="20" t="str">
        <x:v>export_plain_value</x:v>
      </x:c>
      <x:c r="R33" s="19" t="str">
        <x:v>Рекомендуемое поле отсутствует в текущей коллекции; требуется миграция схемы.</x:v>
      </x:c>
    </x:row>
    <x:row r="34">
      <x:c r="A34" s="18" t="str">
        <x:v>02_TIRE_VARIANTS</x:v>
      </x:c>
      <x:c r="B34" s="18" t="str">
        <x:v>verification_status</x:v>
      </x:c>
      <x:c r="C34" s="18" t="str">
        <x:v>enum</x:v>
      </x:c>
      <x:c r="D34" s="18" t="str">
        <x:v>tire-variants</x:v>
      </x:c>
      <x:c r="E34" s="18" t="str">
        <x:v>verification_status</x:v>
      </x:c>
      <x:c r="F34" s="18" t="str">
        <x:v>text</x:v>
      </x:c>
      <x:c r="G34" s="28" t="b">
        <x:v>1</x:v>
      </x:c>
      <x:c r="H34" s="28" t="b">
        <x:v>0</x:v>
      </x:c>
      <x:c r="I34" s="18" t="str"/>
      <x:c r="J34" s="28" t="b">
        <x:v>0</x:v>
      </x:c>
      <x:c r="K34" s="18" t="str">
        <x:v>Рекомендуемое расширение</x:v>
      </x:c>
      <x:c r="L34" s="18" t="str">
        <x:v>main</x:v>
      </x:c>
      <x:c r="M34" s="18" t="str">
        <x:v>required</x:v>
      </x:c>
      <x:c r="N34" s="18" t="str">
        <x:v>catalogContentHooks</x:v>
      </x:c>
      <x:c r="O34" s="18" t="str">
        <x:v>catalogRead/write access</x:v>
      </x:c>
      <x:c r="P34" s="18" t="str">
        <x:v>add_field_before_import</x:v>
      </x:c>
      <x:c r="Q34" s="18" t="str">
        <x:v>export_plain_value</x:v>
      </x:c>
      <x:c r="R34" s="19" t="str">
        <x:v>Рекомендуемое поле отсутствует в текущей коллекции; требуется миграция схемы.</x:v>
      </x:c>
    </x:row>
  </x:sheetData>
  <x:dataValidations count="1">
    <x:dataValidation type="list" sqref="G2:G34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6da3a6fd602467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0" hidden="0" customWidth="1"/>
    <x:col min="3" max="3" width="18" hidden="0" customWidth="1"/>
    <x:col min="4" max="4" width="12" hidden="0" customWidth="1"/>
    <x:col min="5" max="5" width="12" hidden="0" customWidth="1"/>
    <x:col min="6" max="6" width="12" hidden="0" customWidth="1"/>
    <x:col min="7" max="7" width="10" hidden="0" customWidth="1"/>
    <x:col min="8" max="8" width="18" hidden="0" customWidth="1"/>
    <x:col min="9" max="9" width="10" hidden="0" customWidth="1"/>
    <x:col min="10" max="10" width="20" hidden="0" customWidth="1"/>
    <x:col min="11" max="11" width="17" hidden="0" customWidth="1"/>
    <x:col min="12" max="12" width="20" hidden="0" customWidth="1"/>
    <x:col min="13" max="13" width="28" hidden="0" customWidth="1"/>
    <x:col min="14" max="14" width="17" hidden="0" customWidth="1"/>
    <x:col min="15" max="15" width="28" hidden="0" customWidth="1"/>
  </x:cols>
  <x:sheetData>
    <x:row r="1" ht="34" customHeight="1">
      <x:c r="A1" s="17" t="str">
        <x:v>table_name</x:v>
      </x:c>
      <x:c r="B1" s="17" t="str">
        <x:v>column_name</x:v>
      </x:c>
      <x:c r="C1" s="17" t="str">
        <x:v>sql_type_recommended</x:v>
      </x:c>
      <x:c r="D1" s="17" t="str">
        <x:v>nullable</x:v>
      </x:c>
      <x:c r="E1" s="17" t="str">
        <x:v>unique</x:v>
      </x:c>
      <x:c r="F1" s="17" t="str">
        <x:v>default_value</x:v>
      </x:c>
      <x:c r="G1" s="17" t="str">
        <x:v>foreign_key</x:v>
      </x:c>
      <x:c r="H1" s="17" t="str">
        <x:v>referenced_table</x:v>
      </x:c>
      <x:c r="I1" s="17" t="str">
        <x:v>indexed</x:v>
      </x:c>
      <x:c r="J1" s="17" t="str">
        <x:v>composite_index_group</x:v>
      </x:c>
      <x:c r="K1" s="17" t="str">
        <x:v>source_excel_sheet</x:v>
      </x:c>
      <x:c r="L1" s="17" t="str">
        <x:v>source_excel_column</x:v>
      </x:c>
      <x:c r="M1" s="17" t="str">
        <x:v>description</x:v>
      </x:c>
      <x:c r="N1" s="17" t="str">
        <x:v>migration_priority</x:v>
      </x:c>
      <x:c r="O1" s="17" t="str">
        <x:v>notes</x:v>
      </x:c>
    </x:row>
    <x:row r="2">
      <x:c r="A2" s="18" t="str">
        <x:v>tire_models</x:v>
      </x:c>
      <x:c r="B2" s="18" t="str">
        <x:v>id</x:v>
      </x:c>
      <x:c r="C2" s="18" t="str">
        <x:v>bigserial</x:v>
      </x:c>
      <x:c r="D2" s="28" t="b">
        <x:v>0</x:v>
      </x:c>
      <x:c r="E2" s="28" t="b">
        <x:v>1</x:v>
      </x:c>
      <x:c r="F2" s="18" t="str"/>
      <x:c r="G2" s="28" t="b">
        <x:v>0</x:v>
      </x:c>
      <x:c r="H2" s="18" t="str"/>
      <x:c r="I2" s="28" t="b">
        <x:v>0</x:v>
      </x:c>
      <x:c r="J2" s="18" t="str"/>
      <x:c r="K2" s="19" t="str"/>
      <x:c r="L2" s="19" t="str"/>
      <x:c r="M2" s="18" t="str"/>
      <x:c r="N2" s="18" t="str">
        <x:v>P1</x:v>
      </x:c>
      <x:c r="O2" s="19" t="str"/>
    </x:row>
    <x:row r="3">
      <x:c r="A3" s="20" t="str">
        <x:v>tire_models</x:v>
      </x:c>
      <x:c r="B3" s="20" t="str">
        <x:v>model_id</x:v>
      </x:c>
      <x:c r="C3" s="20" t="str">
        <x:v>varchar(64)</x:v>
      </x:c>
      <x:c r="D3" s="31" t="b">
        <x:v>0</x:v>
      </x:c>
      <x:c r="E3" s="31" t="b">
        <x:v>1</x:v>
      </x:c>
      <x:c r="F3" s="20" t="str"/>
      <x:c r="G3" s="31" t="b">
        <x:v>0</x:v>
      </x:c>
      <x:c r="H3" s="20" t="str"/>
      <x:c r="I3" s="31" t="b">
        <x:v>1</x:v>
      </x:c>
      <x:c r="J3" s="20" t="str"/>
      <x:c r="K3" s="19" t="str">
        <x:v>01_TIRE_MODELS</x:v>
      </x:c>
      <x:c r="L3" s="19" t="str">
        <x:v>model_id</x:v>
      </x:c>
      <x:c r="M3" s="20" t="str">
        <x:v>Stable external key</x:v>
      </x:c>
      <x:c r="N3" s="20" t="str">
        <x:v>P1</x:v>
      </x:c>
      <x:c r="O3" s="19" t="str"/>
    </x:row>
    <x:row r="4">
      <x:c r="A4" s="18" t="str">
        <x:v>tire_models</x:v>
      </x:c>
      <x:c r="B4" s="18" t="str">
        <x:v>public_brand</x:v>
      </x:c>
      <x:c r="C4" s="18" t="str">
        <x:v>varchar(32)</x:v>
      </x:c>
      <x:c r="D4" s="28" t="b">
        <x:v>0</x:v>
      </x:c>
      <x:c r="E4" s="28" t="b">
        <x:v>0</x:v>
      </x:c>
      <x:c r="F4" s="18" t="str">
        <x:v>BIZON</x:v>
      </x:c>
      <x:c r="G4" s="28" t="b">
        <x:v>0</x:v>
      </x:c>
      <x:c r="H4" s="18" t="str"/>
      <x:c r="I4" s="28" t="b">
        <x:v>0</x:v>
      </x:c>
      <x:c r="J4" s="18" t="str"/>
      <x:c r="K4" s="19" t="str">
        <x:v>01_TIRE_MODELS</x:v>
      </x:c>
      <x:c r="L4" s="19" t="str">
        <x:v>public_brand</x:v>
      </x:c>
      <x:c r="M4" s="18" t="str"/>
      <x:c r="N4" s="18" t="str">
        <x:v>P1</x:v>
      </x:c>
      <x:c r="O4" s="19" t="str"/>
    </x:row>
    <x:row r="5">
      <x:c r="A5" s="20" t="str">
        <x:v>tire_models</x:v>
      </x:c>
      <x:c r="B5" s="20" t="str">
        <x:v>source_brand</x:v>
      </x:c>
      <x:c r="C5" s="20" t="str">
        <x:v>varchar(32)</x:v>
      </x:c>
      <x:c r="D5" s="31" t="b">
        <x:v>0</x:v>
      </x:c>
      <x:c r="E5" s="31" t="b">
        <x:v>0</x:v>
      </x:c>
      <x:c r="F5" s="20" t="str">
        <x:v>DOUBLESTAR</x:v>
      </x:c>
      <x:c r="G5" s="31" t="b">
        <x:v>0</x:v>
      </x:c>
      <x:c r="H5" s="20" t="str"/>
      <x:c r="I5" s="31" t="b">
        <x:v>0</x:v>
      </x:c>
      <x:c r="J5" s="20" t="str"/>
      <x:c r="K5" s="19" t="str">
        <x:v>01_TIRE_MODELS</x:v>
      </x:c>
      <x:c r="L5" s="19" t="str">
        <x:v>source_brand</x:v>
      </x:c>
      <x:c r="M5" s="20" t="str"/>
      <x:c r="N5" s="20" t="str">
        <x:v>P1</x:v>
      </x:c>
      <x:c r="O5" s="19" t="str"/>
    </x:row>
    <x:row r="6">
      <x:c r="A6" s="18" t="str">
        <x:v>tire_models</x:v>
      </x:c>
      <x:c r="B6" s="18" t="str">
        <x:v>model_code</x:v>
      </x:c>
      <x:c r="C6" s="18" t="str">
        <x:v>varchar(32)</x:v>
      </x:c>
      <x:c r="D6" s="28" t="b">
        <x:v>0</x:v>
      </x:c>
      <x:c r="E6" s="28" t="b">
        <x:v>1</x:v>
      </x:c>
      <x:c r="F6" s="18" t="str"/>
      <x:c r="G6" s="28" t="b">
        <x:v>0</x:v>
      </x:c>
      <x:c r="H6" s="18" t="str"/>
      <x:c r="I6" s="28" t="b">
        <x:v>1</x:v>
      </x:c>
      <x:c r="J6" s="18" t="str"/>
      <x:c r="K6" s="19" t="str">
        <x:v>01_TIRE_MODELS</x:v>
      </x:c>
      <x:c r="L6" s="19" t="str">
        <x:v>model_code</x:v>
      </x:c>
      <x:c r="M6" s="18" t="str"/>
      <x:c r="N6" s="18" t="str">
        <x:v>P1</x:v>
      </x:c>
      <x:c r="O6" s="19" t="str"/>
    </x:row>
    <x:row r="7">
      <x:c r="A7" s="20" t="str">
        <x:v>tire_models</x:v>
      </x:c>
      <x:c r="B7" s="20" t="str">
        <x:v>slug</x:v>
      </x:c>
      <x:c r="C7" s="20" t="str">
        <x:v>varchar(64)</x:v>
      </x:c>
      <x:c r="D7" s="31" t="b">
        <x:v>0</x:v>
      </x:c>
      <x:c r="E7" s="31" t="b">
        <x:v>1</x:v>
      </x:c>
      <x:c r="F7" s="20" t="str"/>
      <x:c r="G7" s="31" t="b">
        <x:v>0</x:v>
      </x:c>
      <x:c r="H7" s="20" t="str"/>
      <x:c r="I7" s="31" t="b">
        <x:v>1</x:v>
      </x:c>
      <x:c r="J7" s="20" t="str"/>
      <x:c r="K7" s="19" t="str">
        <x:v>01_TIRE_MODELS</x:v>
      </x:c>
      <x:c r="L7" s="19" t="str">
        <x:v>slug</x:v>
      </x:c>
      <x:c r="M7" s="20" t="str"/>
      <x:c r="N7" s="20" t="str">
        <x:v>P1</x:v>
      </x:c>
      <x:c r="O7" s="19" t="str"/>
    </x:row>
    <x:row r="8">
      <x:c r="A8" s="18" t="str">
        <x:v>tire_models</x:v>
      </x:c>
      <x:c r="B8" s="18" t="str">
        <x:v>short_description_ru</x:v>
      </x:c>
      <x:c r="C8" s="18" t="str">
        <x:v>text</x:v>
      </x:c>
      <x:c r="D8" s="28" t="b">
        <x:v>1</x:v>
      </x:c>
      <x:c r="E8" s="28" t="b">
        <x:v>0</x:v>
      </x:c>
      <x:c r="F8" s="18" t="str"/>
      <x:c r="G8" s="28" t="b">
        <x:v>0</x:v>
      </x:c>
      <x:c r="H8" s="18" t="str"/>
      <x:c r="I8" s="28" t="b">
        <x:v>0</x:v>
      </x:c>
      <x:c r="J8" s="18" t="str"/>
      <x:c r="K8" s="19" t="str">
        <x:v>01_TIRE_MODELS</x:v>
      </x:c>
      <x:c r="L8" s="19" t="str">
        <x:v>short_description_ru</x:v>
      </x:c>
      <x:c r="M8" s="18" t="str"/>
      <x:c r="N8" s="18" t="str">
        <x:v>P1</x:v>
      </x:c>
      <x:c r="O8" s="19" t="str"/>
    </x:row>
    <x:row r="9">
      <x:c r="A9" s="20" t="str">
        <x:v>tire_models</x:v>
      </x:c>
      <x:c r="B9" s="20" t="str">
        <x:v>publication_status</x:v>
      </x:c>
      <x:c r="C9" s="20" t="str">
        <x:v>varchar(16)</x:v>
      </x:c>
      <x:c r="D9" s="31" t="b">
        <x:v>0</x:v>
      </x:c>
      <x:c r="E9" s="31" t="b">
        <x:v>0</x:v>
      </x:c>
      <x:c r="F9" s="20" t="str">
        <x:v>draft</x:v>
      </x:c>
      <x:c r="G9" s="31" t="b">
        <x:v>0</x:v>
      </x:c>
      <x:c r="H9" s="20" t="str"/>
      <x:c r="I9" s="31" t="b">
        <x:v>1</x:v>
      </x:c>
      <x:c r="J9" s="20" t="str"/>
      <x:c r="K9" s="19" t="str">
        <x:v>01_TIRE_MODELS</x:v>
      </x:c>
      <x:c r="L9" s="19" t="str">
        <x:v>publication_status</x:v>
      </x:c>
      <x:c r="M9" s="20" t="str"/>
      <x:c r="N9" s="20" t="str">
        <x:v>P1</x:v>
      </x:c>
      <x:c r="O9" s="19" t="str"/>
    </x:row>
    <x:row r="10">
      <x:c r="A10" s="18" t="str">
        <x:v>tire_models</x:v>
      </x:c>
      <x:c r="B10" s="18" t="str">
        <x:v>verification_status</x:v>
      </x:c>
      <x:c r="C10" s="18" t="str">
        <x:v>varchar(16)</x:v>
      </x:c>
      <x:c r="D10" s="28" t="b">
        <x:v>0</x:v>
      </x:c>
      <x:c r="E10" s="28" t="b">
        <x:v>0</x:v>
      </x:c>
      <x:c r="F10" s="18" t="str">
        <x:v>needs_review</x:v>
      </x:c>
      <x:c r="G10" s="28" t="b">
        <x:v>0</x:v>
      </x:c>
      <x:c r="H10" s="18" t="str"/>
      <x:c r="I10" s="28" t="b">
        <x:v>1</x:v>
      </x:c>
      <x:c r="J10" s="18" t="str"/>
      <x:c r="K10" s="19" t="str">
        <x:v>01_TIRE_MODELS</x:v>
      </x:c>
      <x:c r="L10" s="19" t="str">
        <x:v>verification_status</x:v>
      </x:c>
      <x:c r="M10" s="18" t="str"/>
      <x:c r="N10" s="18" t="str">
        <x:v>P1</x:v>
      </x:c>
      <x:c r="O10" s="19" t="str"/>
    </x:row>
    <x:row r="11">
      <x:c r="A11" s="20" t="str">
        <x:v>tire_variants</x:v>
      </x:c>
      <x:c r="B11" s="20" t="str">
        <x:v>id</x:v>
      </x:c>
      <x:c r="C11" s="20" t="str">
        <x:v>bigserial</x:v>
      </x:c>
      <x:c r="D11" s="31" t="b">
        <x:v>0</x:v>
      </x:c>
      <x:c r="E11" s="31" t="b">
        <x:v>1</x:v>
      </x:c>
      <x:c r="F11" s="20" t="str"/>
      <x:c r="G11" s="31" t="b">
        <x:v>0</x:v>
      </x:c>
      <x:c r="H11" s="20" t="str"/>
      <x:c r="I11" s="31" t="b">
        <x:v>0</x:v>
      </x:c>
      <x:c r="J11" s="20" t="str"/>
      <x:c r="K11" s="19" t="str"/>
      <x:c r="L11" s="19" t="str"/>
      <x:c r="M11" s="20" t="str"/>
      <x:c r="N11" s="20" t="str">
        <x:v>P1</x:v>
      </x:c>
      <x:c r="O11" s="19" t="str"/>
    </x:row>
    <x:row r="12">
      <x:c r="A12" s="18" t="str">
        <x:v>tire_variants</x:v>
      </x:c>
      <x:c r="B12" s="18" t="str">
        <x:v>variant_id</x:v>
      </x:c>
      <x:c r="C12" s="18" t="str">
        <x:v>varchar(128)</x:v>
      </x:c>
      <x:c r="D12" s="28" t="b">
        <x:v>0</x:v>
      </x:c>
      <x:c r="E12" s="28" t="b">
        <x:v>1</x:v>
      </x:c>
      <x:c r="F12" s="18" t="str"/>
      <x:c r="G12" s="28" t="b">
        <x:v>0</x:v>
      </x:c>
      <x:c r="H12" s="18" t="str"/>
      <x:c r="I12" s="28" t="b">
        <x:v>1</x:v>
      </x:c>
      <x:c r="J12" s="18" t="str"/>
      <x:c r="K12" s="19" t="str">
        <x:v>02_TIRE_VARIANTS</x:v>
      </x:c>
      <x:c r="L12" s="19" t="str">
        <x:v>variant_id</x:v>
      </x:c>
      <x:c r="M12" s="18" t="str"/>
      <x:c r="N12" s="18" t="str">
        <x:v>P1</x:v>
      </x:c>
      <x:c r="O12" s="19" t="str"/>
    </x:row>
    <x:row r="13">
      <x:c r="A13" s="20" t="str">
        <x:v>tire_variants</x:v>
      </x:c>
      <x:c r="B13" s="20" t="str">
        <x:v>model_id</x:v>
      </x:c>
      <x:c r="C13" s="20" t="str">
        <x:v>varchar(64)</x:v>
      </x:c>
      <x:c r="D13" s="31" t="b">
        <x:v>0</x:v>
      </x:c>
      <x:c r="E13" s="31" t="b">
        <x:v>0</x:v>
      </x:c>
      <x:c r="F13" s="20" t="str"/>
      <x:c r="G13" s="31" t="b">
        <x:v>1</x:v>
      </x:c>
      <x:c r="H13" s="20" t="str">
        <x:v>tire_models</x:v>
      </x:c>
      <x:c r="I13" s="31" t="b">
        <x:v>1</x:v>
      </x:c>
      <x:c r="J13" s="20" t="str">
        <x:v>idx_variant_model_size</x:v>
      </x:c>
      <x:c r="K13" s="19" t="str">
        <x:v>02_TIRE_VARIANTS</x:v>
      </x:c>
      <x:c r="L13" s="19" t="str">
        <x:v>model_id</x:v>
      </x:c>
      <x:c r="M13" s="20" t="str"/>
      <x:c r="N13" s="20" t="str">
        <x:v>P1</x:v>
      </x:c>
      <x:c r="O13" s="19" t="str"/>
    </x:row>
    <x:row r="14">
      <x:c r="A14" s="18" t="str">
        <x:v>tire_variants</x:v>
      </x:c>
      <x:c r="B14" s="18" t="str">
        <x:v>sku</x:v>
      </x:c>
      <x:c r="C14" s="18" t="str">
        <x:v>varchar(128)</x:v>
      </x:c>
      <x:c r="D14" s="28" t="b">
        <x:v>0</x:v>
      </x:c>
      <x:c r="E14" s="28" t="b">
        <x:v>1</x:v>
      </x:c>
      <x:c r="F14" s="18" t="str"/>
      <x:c r="G14" s="28" t="b">
        <x:v>0</x:v>
      </x:c>
      <x:c r="H14" s="18" t="str"/>
      <x:c r="I14" s="28" t="b">
        <x:v>1</x:v>
      </x:c>
      <x:c r="J14" s="18" t="str"/>
      <x:c r="K14" s="19" t="str">
        <x:v>02_TIRE_VARIANTS</x:v>
      </x:c>
      <x:c r="L14" s="19" t="str">
        <x:v>sku</x:v>
      </x:c>
      <x:c r="M14" s="18" t="str"/>
      <x:c r="N14" s="18" t="str">
        <x:v>P1</x:v>
      </x:c>
      <x:c r="O14" s="19" t="str"/>
    </x:row>
    <x:row r="15">
      <x:c r="A15" s="20" t="str">
        <x:v>tire_variants</x:v>
      </x:c>
      <x:c r="B15" s="20" t="str">
        <x:v>size_raw</x:v>
      </x:c>
      <x:c r="C15" s="20" t="str">
        <x:v>varchar(32)</x:v>
      </x:c>
      <x:c r="D15" s="31" t="b">
        <x:v>0</x:v>
      </x:c>
      <x:c r="E15" s="31" t="b">
        <x:v>0</x:v>
      </x:c>
      <x:c r="F15" s="20" t="str"/>
      <x:c r="G15" s="31" t="b">
        <x:v>0</x:v>
      </x:c>
      <x:c r="H15" s="20" t="str"/>
      <x:c r="I15" s="31" t="b">
        <x:v>1</x:v>
      </x:c>
      <x:c r="J15" s="20" t="str">
        <x:v>idx_variant_model_size</x:v>
      </x:c>
      <x:c r="K15" s="19" t="str">
        <x:v>02_TIRE_VARIANTS</x:v>
      </x:c>
      <x:c r="L15" s="19" t="str">
        <x:v>size_raw</x:v>
      </x:c>
      <x:c r="M15" s="20" t="str"/>
      <x:c r="N15" s="20" t="str">
        <x:v>P1</x:v>
      </x:c>
      <x:c r="O15" s="19" t="str"/>
    </x:row>
    <x:row r="16">
      <x:c r="A16" s="18" t="str">
        <x:v>tire_variants</x:v>
      </x:c>
      <x:c r="B16" s="18" t="str">
        <x:v>ply_rating_pr</x:v>
      </x:c>
      <x:c r="C16" s="18" t="str">
        <x:v>smallint</x:v>
      </x:c>
      <x:c r="D16" s="28" t="b">
        <x:v>0</x:v>
      </x:c>
      <x:c r="E16" s="28" t="b">
        <x:v>0</x:v>
      </x:c>
      <x:c r="F16" s="18" t="str"/>
      <x:c r="G16" s="28" t="b">
        <x:v>0</x:v>
      </x:c>
      <x:c r="H16" s="18" t="str"/>
      <x:c r="I16" s="28" t="b">
        <x:v>1</x:v>
      </x:c>
      <x:c r="J16" s="18" t="str">
        <x:v>idx_variant_model_size</x:v>
      </x:c>
      <x:c r="K16" s="19" t="str">
        <x:v>02_TIRE_VARIANTS</x:v>
      </x:c>
      <x:c r="L16" s="19" t="str">
        <x:v>ply_rating_pr</x:v>
      </x:c>
      <x:c r="M16" s="18" t="str"/>
      <x:c r="N16" s="18" t="str">
        <x:v>P1</x:v>
      </x:c>
      <x:c r="O16" s="19" t="str"/>
    </x:row>
    <x:row r="17">
      <x:c r="A17" s="20" t="str">
        <x:v>tire_variants</x:v>
      </x:c>
      <x:c r="B17" s="20" t="str">
        <x:v>nominal_width_mm</x:v>
      </x:c>
      <x:c r="C17" s="20" t="str">
        <x:v>smallint</x:v>
      </x:c>
      <x:c r="D17" s="31" t="b">
        <x:v>1</x:v>
      </x:c>
      <x:c r="E17" s="31" t="b">
        <x:v>0</x:v>
      </x:c>
      <x:c r="F17" s="20" t="str"/>
      <x:c r="G17" s="31" t="b">
        <x:v>0</x:v>
      </x:c>
      <x:c r="H17" s="20" t="str"/>
      <x:c r="I17" s="31" t="b">
        <x:v>1</x:v>
      </x:c>
      <x:c r="J17" s="20" t="str"/>
      <x:c r="K17" s="19" t="str">
        <x:v>02_TIRE_VARIANTS</x:v>
      </x:c>
      <x:c r="L17" s="19" t="str">
        <x:v>nominal_width_mm</x:v>
      </x:c>
      <x:c r="M17" s="20" t="str"/>
      <x:c r="N17" s="20" t="str">
        <x:v>P1</x:v>
      </x:c>
      <x:c r="O17" s="19" t="str"/>
    </x:row>
    <x:row r="18">
      <x:c r="A18" s="18" t="str">
        <x:v>tire_variants</x:v>
      </x:c>
      <x:c r="B18" s="18" t="str">
        <x:v>imperial_width_in</x:v>
      </x:c>
      <x:c r="C18" s="18" t="str">
        <x:v>numeric(5,2)</x:v>
      </x:c>
      <x:c r="D18" s="28" t="b">
        <x:v>1</x:v>
      </x:c>
      <x:c r="E18" s="28" t="b">
        <x:v>0</x:v>
      </x:c>
      <x:c r="F18" s="18" t="str"/>
      <x:c r="G18" s="28" t="b">
        <x:v>0</x:v>
      </x:c>
      <x:c r="H18" s="18" t="str"/>
      <x:c r="I18" s="28" t="b">
        <x:v>1</x:v>
      </x:c>
      <x:c r="J18" s="18" t="str"/>
      <x:c r="K18" s="19" t="str">
        <x:v>02_TIRE_VARIANTS</x:v>
      </x:c>
      <x:c r="L18" s="19" t="str">
        <x:v>imperial_width_in</x:v>
      </x:c>
      <x:c r="M18" s="18" t="str"/>
      <x:c r="N18" s="18" t="str">
        <x:v>P1</x:v>
      </x:c>
      <x:c r="O18" s="19" t="str"/>
    </x:row>
    <x:row r="19">
      <x:c r="A19" s="20" t="str">
        <x:v>tire_variants</x:v>
      </x:c>
      <x:c r="B19" s="20" t="str">
        <x:v>aspect_ratio_pct</x:v>
      </x:c>
      <x:c r="C19" s="20" t="str">
        <x:v>smallint</x:v>
      </x:c>
      <x:c r="D19" s="31" t="b">
        <x:v>1</x:v>
      </x:c>
      <x:c r="E19" s="31" t="b">
        <x:v>0</x:v>
      </x:c>
      <x:c r="F19" s="20" t="str"/>
      <x:c r="G19" s="31" t="b">
        <x:v>0</x:v>
      </x:c>
      <x:c r="H19" s="20" t="str"/>
      <x:c r="I19" s="31" t="b">
        <x:v>1</x:v>
      </x:c>
      <x:c r="J19" s="20" t="str"/>
      <x:c r="K19" s="19" t="str">
        <x:v>02_TIRE_VARIANTS</x:v>
      </x:c>
      <x:c r="L19" s="19" t="str">
        <x:v>aspect_ratio_pct</x:v>
      </x:c>
      <x:c r="M19" s="20" t="str"/>
      <x:c r="N19" s="20" t="str">
        <x:v>P1</x:v>
      </x:c>
      <x:c r="O19" s="19" t="str"/>
    </x:row>
    <x:row r="20">
      <x:c r="A20" s="18" t="str">
        <x:v>tire_variants</x:v>
      </x:c>
      <x:c r="B20" s="18" t="str">
        <x:v>rim_diameter_in</x:v>
      </x:c>
      <x:c r="C20" s="18" t="str">
        <x:v>numeric(4,1)</x:v>
      </x:c>
      <x:c r="D20" s="28" t="b">
        <x:v>0</x:v>
      </x:c>
      <x:c r="E20" s="28" t="b">
        <x:v>0</x:v>
      </x:c>
      <x:c r="F20" s="18" t="str"/>
      <x:c r="G20" s="28" t="b">
        <x:v>0</x:v>
      </x:c>
      <x:c r="H20" s="18" t="str"/>
      <x:c r="I20" s="28" t="b">
        <x:v>1</x:v>
      </x:c>
      <x:c r="J20" s="18" t="str"/>
      <x:c r="K20" s="19" t="str">
        <x:v>02_TIRE_VARIANTS</x:v>
      </x:c>
      <x:c r="L20" s="19" t="str">
        <x:v>rim_diameter_in</x:v>
      </x:c>
      <x:c r="M20" s="18" t="str"/>
      <x:c r="N20" s="18" t="str">
        <x:v>P1</x:v>
      </x:c>
      <x:c r="O20" s="19" t="str"/>
    </x:row>
    <x:row r="21">
      <x:c r="A21" s="20" t="str">
        <x:v>tire_variants</x:v>
      </x:c>
      <x:c r="B21" s="20" t="str">
        <x:v>tread_depth_mm</x:v>
      </x:c>
      <x:c r="C21" s="20" t="str">
        <x:v>numeric(5,1)</x:v>
      </x:c>
      <x:c r="D21" s="31" t="b">
        <x:v>0</x:v>
      </x:c>
      <x:c r="E21" s="31" t="b">
        <x:v>0</x:v>
      </x:c>
      <x:c r="F21" s="20" t="str"/>
      <x:c r="G21" s="31" t="b">
        <x:v>0</x:v>
      </x:c>
      <x:c r="H21" s="20" t="str"/>
      <x:c r="I21" s="31" t="b">
        <x:v>1</x:v>
      </x:c>
      <x:c r="J21" s="20" t="str"/>
      <x:c r="K21" s="19" t="str">
        <x:v>02_TIRE_VARIANTS</x:v>
      </x:c>
      <x:c r="L21" s="19" t="str">
        <x:v>tread_depth_mm</x:v>
      </x:c>
      <x:c r="M21" s="20" t="str"/>
      <x:c r="N21" s="20" t="str">
        <x:v>P1</x:v>
      </x:c>
      <x:c r="O21" s="19" t="str"/>
    </x:row>
    <x:row r="22">
      <x:c r="A22" s="18" t="str">
        <x:v>tire_variants</x:v>
      </x:c>
      <x:c r="B22" s="18" t="str">
        <x:v>standard_rim_in</x:v>
      </x:c>
      <x:c r="C22" s="18" t="str">
        <x:v>numeric(5,2)</x:v>
      </x:c>
      <x:c r="D22" s="28" t="b">
        <x:v>0</x:v>
      </x:c>
      <x:c r="E22" s="28" t="b">
        <x:v>0</x:v>
      </x:c>
      <x:c r="F22" s="18" t="str"/>
      <x:c r="G22" s="28" t="b">
        <x:v>0</x:v>
      </x:c>
      <x:c r="H22" s="18" t="str"/>
      <x:c r="I22" s="28" t="b">
        <x:v>1</x:v>
      </x:c>
      <x:c r="J22" s="18" t="str"/>
      <x:c r="K22" s="19" t="str">
        <x:v>02_TIRE_VARIANTS</x:v>
      </x:c>
      <x:c r="L22" s="19" t="str">
        <x:v>standard_rim_in</x:v>
      </x:c>
      <x:c r="M22" s="18" t="str"/>
      <x:c r="N22" s="18" t="str">
        <x:v>P1</x:v>
      </x:c>
      <x:c r="O22" s="19" t="str"/>
    </x:row>
    <x:row r="23">
      <x:c r="A23" s="20" t="str">
        <x:v>tire_variants</x:v>
      </x:c>
      <x:c r="B23" s="20" t="str">
        <x:v>pressure_single_source</x:v>
      </x:c>
      <x:c r="C23" s="20" t="str">
        <x:v>integer</x:v>
      </x:c>
      <x:c r="D23" s="31" t="b">
        <x:v>1</x:v>
      </x:c>
      <x:c r="E23" s="31" t="b">
        <x:v>0</x:v>
      </x:c>
      <x:c r="F23" s="20" t="str"/>
      <x:c r="G23" s="31" t="b">
        <x:v>0</x:v>
      </x:c>
      <x:c r="H23" s="20" t="str"/>
      <x:c r="I23" s="31" t="b">
        <x:v>0</x:v>
      </x:c>
      <x:c r="J23" s="20" t="str"/>
      <x:c r="K23" s="19" t="str">
        <x:v>02_TIRE_VARIANTS</x:v>
      </x:c>
      <x:c r="L23" s="19" t="str">
        <x:v>pressure_single_source</x:v>
      </x:c>
      <x:c r="M23" s="20" t="str"/>
      <x:c r="N23" s="20" t="str">
        <x:v>P1</x:v>
      </x:c>
      <x:c r="O23" s="19" t="str"/>
    </x:row>
    <x:row r="24">
      <x:c r="A24" s="18" t="str">
        <x:v>tire_variants</x:v>
      </x:c>
      <x:c r="B24" s="18" t="str">
        <x:v>pressure_single_kpa</x:v>
      </x:c>
      <x:c r="C24" s="18" t="str">
        <x:v>integer</x:v>
      </x:c>
      <x:c r="D24" s="28" t="b">
        <x:v>1</x:v>
      </x:c>
      <x:c r="E24" s="28" t="b">
        <x:v>0</x:v>
      </x:c>
      <x:c r="F24" s="18" t="str"/>
      <x:c r="G24" s="28" t="b">
        <x:v>0</x:v>
      </x:c>
      <x:c r="H24" s="18" t="str"/>
      <x:c r="I24" s="28" t="b">
        <x:v>1</x:v>
      </x:c>
      <x:c r="J24" s="18" t="str"/>
      <x:c r="K24" s="19" t="str">
        <x:v>02_TIRE_VARIANTS</x:v>
      </x:c>
      <x:c r="L24" s="19" t="str">
        <x:v>pressure_single_kpa</x:v>
      </x:c>
      <x:c r="M24" s="18" t="str"/>
      <x:c r="N24" s="18" t="str">
        <x:v>P1</x:v>
      </x:c>
      <x:c r="O24" s="19" t="str"/>
    </x:row>
    <x:row r="25">
      <x:c r="A25" s="20" t="str">
        <x:v>tire_variants</x:v>
      </x:c>
      <x:c r="B25" s="20" t="str">
        <x:v>max_load_single_source</x:v>
      </x:c>
      <x:c r="C25" s="20" t="str">
        <x:v>integer</x:v>
      </x:c>
      <x:c r="D25" s="31" t="b">
        <x:v>1</x:v>
      </x:c>
      <x:c r="E25" s="31" t="b">
        <x:v>0</x:v>
      </x:c>
      <x:c r="F25" s="20" t="str"/>
      <x:c r="G25" s="31" t="b">
        <x:v>0</x:v>
      </x:c>
      <x:c r="H25" s="20" t="str"/>
      <x:c r="I25" s="31" t="b">
        <x:v>0</x:v>
      </x:c>
      <x:c r="J25" s="20" t="str"/>
      <x:c r="K25" s="19" t="str">
        <x:v>02_TIRE_VARIANTS</x:v>
      </x:c>
      <x:c r="L25" s="19" t="str">
        <x:v>max_load_single_source</x:v>
      </x:c>
      <x:c r="M25" s="20" t="str"/>
      <x:c r="N25" s="20" t="str">
        <x:v>P1</x:v>
      </x:c>
      <x:c r="O25" s="19" t="str"/>
    </x:row>
    <x:row r="26">
      <x:c r="A26" s="18" t="str">
        <x:v>tire_variants</x:v>
      </x:c>
      <x:c r="B26" s="18" t="str">
        <x:v>max_load_single_kg</x:v>
      </x:c>
      <x:c r="C26" s="18" t="str">
        <x:v>integer</x:v>
      </x:c>
      <x:c r="D26" s="28" t="b">
        <x:v>1</x:v>
      </x:c>
      <x:c r="E26" s="28" t="b">
        <x:v>0</x:v>
      </x:c>
      <x:c r="F26" s="18" t="str"/>
      <x:c r="G26" s="28" t="b">
        <x:v>0</x:v>
      </x:c>
      <x:c r="H26" s="18" t="str"/>
      <x:c r="I26" s="28" t="b">
        <x:v>1</x:v>
      </x:c>
      <x:c r="J26" s="18" t="str"/>
      <x:c r="K26" s="19" t="str">
        <x:v>02_TIRE_VARIANTS</x:v>
      </x:c>
      <x:c r="L26" s="19" t="str">
        <x:v>max_load_single_kg</x:v>
      </x:c>
      <x:c r="M26" s="18" t="str"/>
      <x:c r="N26" s="18" t="str">
        <x:v>P1</x:v>
      </x:c>
      <x:c r="O26" s="19" t="str"/>
    </x:row>
    <x:row r="27">
      <x:c r="A27" s="20" t="str">
        <x:v>tire_variants</x:v>
      </x:c>
      <x:c r="B27" s="20" t="str">
        <x:v>load_index_single</x:v>
      </x:c>
      <x:c r="C27" s="20" t="str">
        <x:v>smallint</x:v>
      </x:c>
      <x:c r="D27" s="31" t="b">
        <x:v>1</x:v>
      </x:c>
      <x:c r="E27" s="31" t="b">
        <x:v>0</x:v>
      </x:c>
      <x:c r="F27" s="20" t="str"/>
      <x:c r="G27" s="31" t="b">
        <x:v>0</x:v>
      </x:c>
      <x:c r="H27" s="20" t="str"/>
      <x:c r="I27" s="31" t="b">
        <x:v>1</x:v>
      </x:c>
      <x:c r="J27" s="20" t="str"/>
      <x:c r="K27" s="19" t="str">
        <x:v>02_TIRE_VARIANTS</x:v>
      </x:c>
      <x:c r="L27" s="19" t="str">
        <x:v>load_index_single</x:v>
      </x:c>
      <x:c r="M27" s="20" t="str"/>
      <x:c r="N27" s="20" t="str">
        <x:v>P1</x:v>
      </x:c>
      <x:c r="O27" s="19" t="str"/>
    </x:row>
    <x:row r="28">
      <x:c r="A28" s="18" t="str">
        <x:v>tire_variants</x:v>
      </x:c>
      <x:c r="B28" s="18" t="str">
        <x:v>load_index_dual</x:v>
      </x:c>
      <x:c r="C28" s="18" t="str">
        <x:v>smallint</x:v>
      </x:c>
      <x:c r="D28" s="28" t="b">
        <x:v>1</x:v>
      </x:c>
      <x:c r="E28" s="28" t="b">
        <x:v>0</x:v>
      </x:c>
      <x:c r="F28" s="18" t="str"/>
      <x:c r="G28" s="28" t="b">
        <x:v>0</x:v>
      </x:c>
      <x:c r="H28" s="18" t="str"/>
      <x:c r="I28" s="28" t="b">
        <x:v>1</x:v>
      </x:c>
      <x:c r="J28" s="18" t="str"/>
      <x:c r="K28" s="19" t="str">
        <x:v>02_TIRE_VARIANTS</x:v>
      </x:c>
      <x:c r="L28" s="19" t="str">
        <x:v>load_index_dual</x:v>
      </x:c>
      <x:c r="M28" s="18" t="str"/>
      <x:c r="N28" s="18" t="str">
        <x:v>P1</x:v>
      </x:c>
      <x:c r="O28" s="19" t="str"/>
    </x:row>
    <x:row r="29">
      <x:c r="A29" s="20" t="str">
        <x:v>tire_variants</x:v>
      </x:c>
      <x:c r="B29" s="20" t="str">
        <x:v>speed_symbol</x:v>
      </x:c>
      <x:c r="C29" s="20" t="str">
        <x:v>varchar(2)</x:v>
      </x:c>
      <x:c r="D29" s="31" t="b">
        <x:v>0</x:v>
      </x:c>
      <x:c r="E29" s="31" t="b">
        <x:v>0</x:v>
      </x:c>
      <x:c r="F29" s="20" t="str"/>
      <x:c r="G29" s="31" t="b">
        <x:v>0</x:v>
      </x:c>
      <x:c r="H29" s="20" t="str"/>
      <x:c r="I29" s="31" t="b">
        <x:v>1</x:v>
      </x:c>
      <x:c r="J29" s="20" t="str"/>
      <x:c r="K29" s="19" t="str">
        <x:v>02_TIRE_VARIANTS</x:v>
      </x:c>
      <x:c r="L29" s="19" t="str">
        <x:v>speed_symbol</x:v>
      </x:c>
      <x:c r="M29" s="20" t="str"/>
      <x:c r="N29" s="20" t="str">
        <x:v>P1</x:v>
      </x:c>
      <x:c r="O29" s="19" t="str"/>
    </x:row>
    <x:row r="30">
      <x:c r="A30" s="18" t="str">
        <x:v>tire_variants</x:v>
      </x:c>
      <x:c r="B30" s="18" t="str">
        <x:v>overall_diameter_mm</x:v>
      </x:c>
      <x:c r="C30" s="18" t="str">
        <x:v>smallint</x:v>
      </x:c>
      <x:c r="D30" s="28" t="b">
        <x:v>0</x:v>
      </x:c>
      <x:c r="E30" s="28" t="b">
        <x:v>0</x:v>
      </x:c>
      <x:c r="F30" s="18" t="str"/>
      <x:c r="G30" s="28" t="b">
        <x:v>0</x:v>
      </x:c>
      <x:c r="H30" s="18" t="str"/>
      <x:c r="I30" s="28" t="b">
        <x:v>1</x:v>
      </x:c>
      <x:c r="J30" s="18" t="str"/>
      <x:c r="K30" s="19" t="str">
        <x:v>02_TIRE_VARIANTS</x:v>
      </x:c>
      <x:c r="L30" s="19" t="str">
        <x:v>overall_diameter_mm</x:v>
      </x:c>
      <x:c r="M30" s="18" t="str"/>
      <x:c r="N30" s="18" t="str">
        <x:v>P1</x:v>
      </x:c>
      <x:c r="O30" s="19" t="str"/>
    </x:row>
    <x:row r="31">
      <x:c r="A31" s="20" t="str">
        <x:v>tire_variants</x:v>
      </x:c>
      <x:c r="B31" s="20" t="str">
        <x:v>section_width_mm</x:v>
      </x:c>
      <x:c r="C31" s="20" t="str">
        <x:v>smallint</x:v>
      </x:c>
      <x:c r="D31" s="31" t="b">
        <x:v>0</x:v>
      </x:c>
      <x:c r="E31" s="31" t="b">
        <x:v>0</x:v>
      </x:c>
      <x:c r="F31" s="20" t="str"/>
      <x:c r="G31" s="31" t="b">
        <x:v>0</x:v>
      </x:c>
      <x:c r="H31" s="20" t="str"/>
      <x:c r="I31" s="31" t="b">
        <x:v>1</x:v>
      </x:c>
      <x:c r="J31" s="20" t="str"/>
      <x:c r="K31" s="19" t="str">
        <x:v>02_TIRE_VARIANTS</x:v>
      </x:c>
      <x:c r="L31" s="19" t="str">
        <x:v>section_width_mm</x:v>
      </x:c>
      <x:c r="M31" s="20" t="str"/>
      <x:c r="N31" s="20" t="str">
        <x:v>P1</x:v>
      </x:c>
      <x:c r="O31" s="19" t="str"/>
    </x:row>
    <x:row r="32">
      <x:c r="A32" s="18" t="str">
        <x:v>tire_variants</x:v>
      </x:c>
      <x:c r="B32" s="18" t="str">
        <x:v>verification_status</x:v>
      </x:c>
      <x:c r="C32" s="18" t="str">
        <x:v>varchar(16)</x:v>
      </x:c>
      <x:c r="D32" s="28" t="b">
        <x:v>0</x:v>
      </x:c>
      <x:c r="E32" s="28" t="b">
        <x:v>0</x:v>
      </x:c>
      <x:c r="F32" s="18" t="str">
        <x:v>needs_review</x:v>
      </x:c>
      <x:c r="G32" s="28" t="b">
        <x:v>0</x:v>
      </x:c>
      <x:c r="H32" s="18" t="str"/>
      <x:c r="I32" s="28" t="b">
        <x:v>1</x:v>
      </x:c>
      <x:c r="J32" s="18" t="str"/>
      <x:c r="K32" s="19" t="str">
        <x:v>02_TIRE_VARIANTS</x:v>
      </x:c>
      <x:c r="L32" s="19" t="str">
        <x:v>verification_status</x:v>
      </x:c>
      <x:c r="M32" s="18" t="str"/>
      <x:c r="N32" s="18" t="str">
        <x:v>P1</x:v>
      </x:c>
      <x:c r="O32" s="19" t="str"/>
    </x:row>
    <x:row r="33">
      <x:c r="A33" s="20" t="str">
        <x:v>tire_variants</x:v>
      </x:c>
      <x:c r="B33" s="20" t="str">
        <x:v>publish_blocked</x:v>
      </x:c>
      <x:c r="C33" s="20" t="str">
        <x:v>boolean</x:v>
      </x:c>
      <x:c r="D33" s="31" t="b">
        <x:v>0</x:v>
      </x:c>
      <x:c r="E33" s="31" t="b">
        <x:v>0</x:v>
      </x:c>
      <x:c r="F33" s="20" t="str">
        <x:v>true</x:v>
      </x:c>
      <x:c r="G33" s="31" t="b">
        <x:v>0</x:v>
      </x:c>
      <x:c r="H33" s="20" t="str"/>
      <x:c r="I33" s="31" t="b">
        <x:v>1</x:v>
      </x:c>
      <x:c r="J33" s="20" t="str"/>
      <x:c r="K33" s="19" t="str">
        <x:v>02_TIRE_VARIANTS</x:v>
      </x:c>
      <x:c r="L33" s="19" t="str">
        <x:v>publish_blocked</x:v>
      </x:c>
      <x:c r="M33" s="20" t="str"/>
      <x:c r="N33" s="20" t="str">
        <x:v>P1</x:v>
      </x:c>
      <x:c r="O33" s="19" t="str"/>
    </x:row>
    <x:row r="34">
      <x:c r="A34" s="18" t="str">
        <x:v>axle_positions</x:v>
      </x:c>
      <x:c r="B34" s="18" t="str">
        <x:v>key</x:v>
      </x:c>
      <x:c r="C34" s="18" t="str">
        <x:v>varchar(32)</x:v>
      </x:c>
      <x:c r="D34" s="28" t="b">
        <x:v>0</x:v>
      </x:c>
      <x:c r="E34" s="28" t="b">
        <x:v>1</x:v>
      </x:c>
      <x:c r="F34" s="18" t="str"/>
      <x:c r="G34" s="28" t="b">
        <x:v>0</x:v>
      </x:c>
      <x:c r="H34" s="18" t="str"/>
      <x:c r="I34" s="28" t="b">
        <x:v>0</x:v>
      </x:c>
      <x:c r="J34" s="18" t="str"/>
      <x:c r="K34" s="19" t="str"/>
      <x:c r="L34" s="19" t="str"/>
      <x:c r="M34" s="18" t="str"/>
      <x:c r="N34" s="18" t="str">
        <x:v>P1</x:v>
      </x:c>
      <x:c r="O34" s="19" t="str"/>
    </x:row>
    <x:row r="35">
      <x:c r="A35" s="20" t="str">
        <x:v>axle_positions</x:v>
      </x:c>
      <x:c r="B35" s="20" t="str">
        <x:v>label_ru</x:v>
      </x:c>
      <x:c r="C35" s="20" t="str">
        <x:v>varchar(128)</x:v>
      </x:c>
      <x:c r="D35" s="31" t="b">
        <x:v>0</x:v>
      </x:c>
      <x:c r="E35" s="31" t="b">
        <x:v>0</x:v>
      </x:c>
      <x:c r="F35" s="20" t="str"/>
      <x:c r="G35" s="31" t="b">
        <x:v>0</x:v>
      </x:c>
      <x:c r="H35" s="20" t="str"/>
      <x:c r="I35" s="31" t="b">
        <x:v>0</x:v>
      </x:c>
      <x:c r="J35" s="20" t="str"/>
      <x:c r="K35" s="19" t="str"/>
      <x:c r="L35" s="19" t="str"/>
      <x:c r="M35" s="20" t="str"/>
      <x:c r="N35" s="20" t="str">
        <x:v>P1</x:v>
      </x:c>
      <x:c r="O35" s="19" t="str"/>
    </x:row>
    <x:row r="36">
      <x:c r="A36" s="18" t="str">
        <x:v>axle_positions</x:v>
      </x:c>
      <x:c r="B36" s="18" t="str">
        <x:v>sort_order</x:v>
      </x:c>
      <x:c r="C36" s="18" t="str">
        <x:v>smallint</x:v>
      </x:c>
      <x:c r="D36" s="28" t="b">
        <x:v>0</x:v>
      </x:c>
      <x:c r="E36" s="28" t="b">
        <x:v>0</x:v>
      </x:c>
      <x:c r="F36" s="18" t="str"/>
      <x:c r="G36" s="28" t="b">
        <x:v>0</x:v>
      </x:c>
      <x:c r="H36" s="18" t="str"/>
      <x:c r="I36" s="28" t="b">
        <x:v>0</x:v>
      </x:c>
      <x:c r="J36" s="18" t="str"/>
      <x:c r="K36" s="19" t="str"/>
      <x:c r="L36" s="19" t="str"/>
      <x:c r="M36" s="18" t="str"/>
      <x:c r="N36" s="18" t="str">
        <x:v>P1</x:v>
      </x:c>
      <x:c r="O36" s="19" t="str"/>
    </x:row>
    <x:row r="37">
      <x:c r="A37" s="20" t="str">
        <x:v>application_types</x:v>
      </x:c>
      <x:c r="B37" s="20" t="str">
        <x:v>key</x:v>
      </x:c>
      <x:c r="C37" s="20" t="str">
        <x:v>varchar(32)</x:v>
      </x:c>
      <x:c r="D37" s="31" t="b">
        <x:v>0</x:v>
      </x:c>
      <x:c r="E37" s="31" t="b">
        <x:v>1</x:v>
      </x:c>
      <x:c r="F37" s="20" t="str"/>
      <x:c r="G37" s="31" t="b">
        <x:v>0</x:v>
      </x:c>
      <x:c r="H37" s="20" t="str"/>
      <x:c r="I37" s="31" t="b">
        <x:v>0</x:v>
      </x:c>
      <x:c r="J37" s="20" t="str"/>
      <x:c r="K37" s="19" t="str"/>
      <x:c r="L37" s="19" t="str"/>
      <x:c r="M37" s="20" t="str"/>
      <x:c r="N37" s="20" t="str">
        <x:v>P1</x:v>
      </x:c>
      <x:c r="O37" s="19" t="str"/>
    </x:row>
    <x:row r="38">
      <x:c r="A38" s="18" t="str">
        <x:v>application_types</x:v>
      </x:c>
      <x:c r="B38" s="18" t="str">
        <x:v>label_ru</x:v>
      </x:c>
      <x:c r="C38" s="18" t="str">
        <x:v>varchar(128)</x:v>
      </x:c>
      <x:c r="D38" s="28" t="b">
        <x:v>0</x:v>
      </x:c>
      <x:c r="E38" s="28" t="b">
        <x:v>0</x:v>
      </x:c>
      <x:c r="F38" s="18" t="str"/>
      <x:c r="G38" s="28" t="b">
        <x:v>0</x:v>
      </x:c>
      <x:c r="H38" s="18" t="str"/>
      <x:c r="I38" s="28" t="b">
        <x:v>0</x:v>
      </x:c>
      <x:c r="J38" s="18" t="str"/>
      <x:c r="K38" s="19" t="str"/>
      <x:c r="L38" s="19" t="str"/>
      <x:c r="M38" s="18" t="str"/>
      <x:c r="N38" s="18" t="str">
        <x:v>P1</x:v>
      </x:c>
      <x:c r="O38" s="19" t="str"/>
    </x:row>
    <x:row r="39">
      <x:c r="A39" s="20" t="str">
        <x:v>application_types</x:v>
      </x:c>
      <x:c r="B39" s="20" t="str">
        <x:v>sort_order</x:v>
      </x:c>
      <x:c r="C39" s="20" t="str">
        <x:v>smallint</x:v>
      </x:c>
      <x:c r="D39" s="31" t="b">
        <x:v>0</x:v>
      </x:c>
      <x:c r="E39" s="31" t="b">
        <x:v>0</x:v>
      </x:c>
      <x:c r="F39" s="20" t="str"/>
      <x:c r="G39" s="31" t="b">
        <x:v>0</x:v>
      </x:c>
      <x:c r="H39" s="20" t="str"/>
      <x:c r="I39" s="31" t="b">
        <x:v>0</x:v>
      </x:c>
      <x:c r="J39" s="20" t="str"/>
      <x:c r="K39" s="19" t="str"/>
      <x:c r="L39" s="19" t="str"/>
      <x:c r="M39" s="20" t="str"/>
      <x:c r="N39" s="20" t="str">
        <x:v>P1</x:v>
      </x:c>
      <x:c r="O39" s="19" t="str"/>
    </x:row>
    <x:row r="40">
      <x:c r="A40" s="18" t="str">
        <x:v>performance_features</x:v>
      </x:c>
      <x:c r="B40" s="18" t="str">
        <x:v>key</x:v>
      </x:c>
      <x:c r="C40" s="18" t="str">
        <x:v>varchar(64)</x:v>
      </x:c>
      <x:c r="D40" s="28" t="b">
        <x:v>0</x:v>
      </x:c>
      <x:c r="E40" s="28" t="b">
        <x:v>1</x:v>
      </x:c>
      <x:c r="F40" s="18" t="str"/>
      <x:c r="G40" s="28" t="b">
        <x:v>0</x:v>
      </x:c>
      <x:c r="H40" s="18" t="str"/>
      <x:c r="I40" s="28" t="b">
        <x:v>0</x:v>
      </x:c>
      <x:c r="J40" s="18" t="str"/>
      <x:c r="K40" s="19" t="str"/>
      <x:c r="L40" s="19" t="str"/>
      <x:c r="M40" s="18" t="str"/>
      <x:c r="N40" s="18" t="str">
        <x:v>P1</x:v>
      </x:c>
      <x:c r="O40" s="19" t="str"/>
    </x:row>
    <x:row r="41">
      <x:c r="A41" s="20" t="str">
        <x:v>performance_features</x:v>
      </x:c>
      <x:c r="B41" s="20" t="str">
        <x:v>label_ru</x:v>
      </x:c>
      <x:c r="C41" s="20" t="str">
        <x:v>varchar(128)</x:v>
      </x:c>
      <x:c r="D41" s="31" t="b">
        <x:v>0</x:v>
      </x:c>
      <x:c r="E41" s="31" t="b">
        <x:v>0</x:v>
      </x:c>
      <x:c r="F41" s="20" t="str"/>
      <x:c r="G41" s="31" t="b">
        <x:v>0</x:v>
      </x:c>
      <x:c r="H41" s="20" t="str"/>
      <x:c r="I41" s="31" t="b">
        <x:v>0</x:v>
      </x:c>
      <x:c r="J41" s="20" t="str"/>
      <x:c r="K41" s="19" t="str"/>
      <x:c r="L41" s="19" t="str"/>
      <x:c r="M41" s="20" t="str"/>
      <x:c r="N41" s="20" t="str">
        <x:v>P1</x:v>
      </x:c>
      <x:c r="O41" s="19" t="str"/>
    </x:row>
    <x:row r="42">
      <x:c r="A42" s="18" t="str">
        <x:v>performance_features</x:v>
      </x:c>
      <x:c r="B42" s="18" t="str">
        <x:v>filterable</x:v>
      </x:c>
      <x:c r="C42" s="18" t="str">
        <x:v>boolean</x:v>
      </x:c>
      <x:c r="D42" s="28" t="b">
        <x:v>0</x:v>
      </x:c>
      <x:c r="E42" s="28" t="b">
        <x:v>0</x:v>
      </x:c>
      <x:c r="F42" s="18" t="str">
        <x:v>false</x:v>
      </x:c>
      <x:c r="G42" s="28" t="b">
        <x:v>0</x:v>
      </x:c>
      <x:c r="H42" s="18" t="str"/>
      <x:c r="I42" s="28" t="b">
        <x:v>0</x:v>
      </x:c>
      <x:c r="J42" s="18" t="str"/>
      <x:c r="K42" s="19" t="str"/>
      <x:c r="L42" s="19" t="str"/>
      <x:c r="M42" s="18" t="str"/>
      <x:c r="N42" s="18" t="str">
        <x:v>P1</x:v>
      </x:c>
      <x:c r="O42" s="19" t="str"/>
    </x:row>
    <x:row r="43">
      <x:c r="A43" s="20" t="str">
        <x:v>tire_model_positions</x:v>
      </x:c>
      <x:c r="B43" s="20" t="str">
        <x:v>model_id</x:v>
      </x:c>
      <x:c r="C43" s="20" t="str">
        <x:v>varchar(64)</x:v>
      </x:c>
      <x:c r="D43" s="31" t="b">
        <x:v>0</x:v>
      </x:c>
      <x:c r="E43" s="31" t="b">
        <x:v>0</x:v>
      </x:c>
      <x:c r="F43" s="20" t="str"/>
      <x:c r="G43" s="31" t="b">
        <x:v>1</x:v>
      </x:c>
      <x:c r="H43" s="20" t="str">
        <x:v>tire_models</x:v>
      </x:c>
      <x:c r="I43" s="31" t="b">
        <x:v>1</x:v>
      </x:c>
      <x:c r="J43" s="20" t="str">
        <x:v>pk_model_position</x:v>
      </x:c>
      <x:c r="K43" s="19" t="str"/>
      <x:c r="L43" s="19" t="str"/>
      <x:c r="M43" s="20" t="str"/>
      <x:c r="N43" s="20" t="str">
        <x:v>P1</x:v>
      </x:c>
      <x:c r="O43" s="19" t="str"/>
    </x:row>
    <x:row r="44">
      <x:c r="A44" s="18" t="str">
        <x:v>tire_model_positions</x:v>
      </x:c>
      <x:c r="B44" s="18" t="str">
        <x:v>position_key</x:v>
      </x:c>
      <x:c r="C44" s="18" t="str">
        <x:v>varchar(32)</x:v>
      </x:c>
      <x:c r="D44" s="28" t="b">
        <x:v>0</x:v>
      </x:c>
      <x:c r="E44" s="28" t="b">
        <x:v>0</x:v>
      </x:c>
      <x:c r="F44" s="18" t="str"/>
      <x:c r="G44" s="28" t="b">
        <x:v>1</x:v>
      </x:c>
      <x:c r="H44" s="18" t="str">
        <x:v>axle_positions</x:v>
      </x:c>
      <x:c r="I44" s="28" t="b">
        <x:v>1</x:v>
      </x:c>
      <x:c r="J44" s="18" t="str">
        <x:v>pk_model_position</x:v>
      </x:c>
      <x:c r="K44" s="19" t="str"/>
      <x:c r="L44" s="19" t="str"/>
      <x:c r="M44" s="18" t="str"/>
      <x:c r="N44" s="18" t="str">
        <x:v>P1</x:v>
      </x:c>
      <x:c r="O44" s="19" t="str"/>
    </x:row>
    <x:row r="45">
      <x:c r="A45" s="20" t="str">
        <x:v>tire_model_applications</x:v>
      </x:c>
      <x:c r="B45" s="20" t="str">
        <x:v>model_id</x:v>
      </x:c>
      <x:c r="C45" s="20" t="str">
        <x:v>varchar(64)</x:v>
      </x:c>
      <x:c r="D45" s="31" t="b">
        <x:v>0</x:v>
      </x:c>
      <x:c r="E45" s="31" t="b">
        <x:v>0</x:v>
      </x:c>
      <x:c r="F45" s="20" t="str"/>
      <x:c r="G45" s="31" t="b">
        <x:v>1</x:v>
      </x:c>
      <x:c r="H45" s="20" t="str">
        <x:v>tire_models</x:v>
      </x:c>
      <x:c r="I45" s="31" t="b">
        <x:v>1</x:v>
      </x:c>
      <x:c r="J45" s="20" t="str">
        <x:v>pk_model_application</x:v>
      </x:c>
      <x:c r="K45" s="19" t="str"/>
      <x:c r="L45" s="19" t="str"/>
      <x:c r="M45" s="20" t="str"/>
      <x:c r="N45" s="20" t="str">
        <x:v>P1</x:v>
      </x:c>
      <x:c r="O45" s="19" t="str"/>
    </x:row>
    <x:row r="46">
      <x:c r="A46" s="18" t="str">
        <x:v>tire_model_applications</x:v>
      </x:c>
      <x:c r="B46" s="18" t="str">
        <x:v>application_key</x:v>
      </x:c>
      <x:c r="C46" s="18" t="str">
        <x:v>varchar(32)</x:v>
      </x:c>
      <x:c r="D46" s="28" t="b">
        <x:v>0</x:v>
      </x:c>
      <x:c r="E46" s="28" t="b">
        <x:v>0</x:v>
      </x:c>
      <x:c r="F46" s="18" t="str"/>
      <x:c r="G46" s="28" t="b">
        <x:v>1</x:v>
      </x:c>
      <x:c r="H46" s="18" t="str">
        <x:v>application_types</x:v>
      </x:c>
      <x:c r="I46" s="28" t="b">
        <x:v>1</x:v>
      </x:c>
      <x:c r="J46" s="18" t="str">
        <x:v>pk_model_application</x:v>
      </x:c>
      <x:c r="K46" s="19" t="str"/>
      <x:c r="L46" s="19" t="str"/>
      <x:c r="M46" s="18" t="str"/>
      <x:c r="N46" s="18" t="str">
        <x:v>P1</x:v>
      </x:c>
      <x:c r="O46" s="19" t="str"/>
    </x:row>
    <x:row r="47">
      <x:c r="A47" s="20" t="str">
        <x:v>tire_model_features</x:v>
      </x:c>
      <x:c r="B47" s="20" t="str">
        <x:v>model_id</x:v>
      </x:c>
      <x:c r="C47" s="20" t="str">
        <x:v>varchar(64)</x:v>
      </x:c>
      <x:c r="D47" s="31" t="b">
        <x:v>0</x:v>
      </x:c>
      <x:c r="E47" s="31" t="b">
        <x:v>0</x:v>
      </x:c>
      <x:c r="F47" s="20" t="str"/>
      <x:c r="G47" s="31" t="b">
        <x:v>1</x:v>
      </x:c>
      <x:c r="H47" s="20" t="str">
        <x:v>tire_models</x:v>
      </x:c>
      <x:c r="I47" s="31" t="b">
        <x:v>1</x:v>
      </x:c>
      <x:c r="J47" s="20" t="str">
        <x:v>pk_model_feature</x:v>
      </x:c>
      <x:c r="K47" s="19" t="str"/>
      <x:c r="L47" s="19" t="str"/>
      <x:c r="M47" s="20" t="str"/>
      <x:c r="N47" s="20" t="str">
        <x:v>P1</x:v>
      </x:c>
      <x:c r="O47" s="19" t="str"/>
    </x:row>
    <x:row r="48">
      <x:c r="A48" s="18" t="str">
        <x:v>tire_model_features</x:v>
      </x:c>
      <x:c r="B48" s="18" t="str">
        <x:v>feature_key</x:v>
      </x:c>
      <x:c r="C48" s="18" t="str">
        <x:v>varchar(64)</x:v>
      </x:c>
      <x:c r="D48" s="28" t="b">
        <x:v>0</x:v>
      </x:c>
      <x:c r="E48" s="28" t="b">
        <x:v>0</x:v>
      </x:c>
      <x:c r="F48" s="18" t="str"/>
      <x:c r="G48" s="28" t="b">
        <x:v>1</x:v>
      </x:c>
      <x:c r="H48" s="18" t="str">
        <x:v>performance_features</x:v>
      </x:c>
      <x:c r="I48" s="28" t="b">
        <x:v>1</x:v>
      </x:c>
      <x:c r="J48" s="18" t="str">
        <x:v>pk_model_feature</x:v>
      </x:c>
      <x:c r="K48" s="19" t="str"/>
      <x:c r="L48" s="19" t="str"/>
      <x:c r="M48" s="18" t="str"/>
      <x:c r="N48" s="18" t="str">
        <x:v>P1</x:v>
      </x:c>
      <x:c r="O48" s="19" t="str"/>
    </x:row>
    <x:row r="49">
      <x:c r="A49" s="20" t="str">
        <x:v>tire_model_features</x:v>
      </x:c>
      <x:c r="B49" s="20" t="str">
        <x:v>source_text</x:v>
      </x:c>
      <x:c r="C49" s="20" t="str">
        <x:v>text</x:v>
      </x:c>
      <x:c r="D49" s="31" t="b">
        <x:v>1</x:v>
      </x:c>
      <x:c r="E49" s="31" t="b">
        <x:v>0</x:v>
      </x:c>
      <x:c r="F49" s="20" t="str"/>
      <x:c r="G49" s="31" t="b">
        <x:v>0</x:v>
      </x:c>
      <x:c r="H49" s="20" t="str"/>
      <x:c r="I49" s="31" t="b">
        <x:v>0</x:v>
      </x:c>
      <x:c r="J49" s="20" t="str"/>
      <x:c r="K49" s="19" t="str"/>
      <x:c r="L49" s="19" t="str"/>
      <x:c r="M49" s="20" t="str"/>
      <x:c r="N49" s="20" t="str">
        <x:v>P1</x:v>
      </x:c>
      <x:c r="O49" s="19" t="str"/>
    </x:row>
  </x:sheetData>
  <x:dataValidations count="3">
    <x:dataValidation type="list" sqref="D2:D49">
      <x:formula1>"TRUE,FALSE"</x:formula1>
    </x:dataValidation>
    <x:dataValidation type="list" sqref="E2:E49">
      <x:formula1>"TRUE,FALSE"</x:formula1>
    </x:dataValidation>
    <x:dataValidation type="list" sqref="I2:I49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40a09b67c794119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5" hidden="0" customWidth="1"/>
    <x:col min="4" max="4" width="27" hidden="0" customWidth="1"/>
    <x:col min="5" max="5" width="16" hidden="0" customWidth="1"/>
    <x:col min="6" max="6" width="28" hidden="0" customWidth="1"/>
    <x:col min="7" max="7" width="28" hidden="0" customWidth="1"/>
    <x:col min="8" max="8" width="10" hidden="0" customWidth="1"/>
    <x:col min="9" max="9" width="14" hidden="0" customWidth="1"/>
    <x:col min="10" max="10" width="28" hidden="0" customWidth="1"/>
  </x:cols>
  <x:sheetData>
    <x:row r="1" ht="34" customHeight="1">
      <x:c r="A1" s="17" t="str">
        <x:v>source_document</x:v>
      </x:c>
      <x:c r="B1" s="17" t="str">
        <x:v>source_page</x:v>
      </x:c>
      <x:c r="C1" s="17" t="str">
        <x:v>source_section</x:v>
      </x:c>
      <x:c r="D1" s="17" t="str">
        <x:v>source_label</x:v>
      </x:c>
      <x:c r="E1" s="17" t="str">
        <x:v>normalized_entity</x:v>
      </x:c>
      <x:c r="F1" s="17" t="str">
        <x:v>normalized_attribute</x:v>
      </x:c>
      <x:c r="G1" s="17" t="str">
        <x:v>transformation_rule</x:v>
      </x:c>
      <x:c r="H1" s="17" t="str">
        <x:v>confidence</x:v>
      </x:c>
      <x:c r="I1" s="17" t="str">
        <x:v>requires_review</x:v>
      </x:c>
      <x:c r="J1" s="17" t="str">
        <x:v>notes</x:v>
      </x:c>
    </x:row>
    <x:row r="2">
      <x:c r="A2" s="19" t="str">
        <x:v>DOUBLESTAR COMBODIA TBR CATALOGUE.pdf</x:v>
      </x:c>
      <x:c r="B2" s="19" t="str">
        <x:v>4-9</x:v>
      </x:c>
      <x:c r="C2" s="19" t="str">
        <x:v>Technical tables</x:v>
      </x:c>
      <x:c r="D2" s="19" t="str">
        <x:v>Size</x:v>
      </x:c>
      <x:c r="E2" s="18" t="str">
        <x:v>variant</x:v>
      </x:c>
      <x:c r="F2" s="18" t="str">
        <x:v>size_raw</x:v>
      </x:c>
      <x:c r="G2" s="18" t="str">
        <x:v>Preserve; parse metric/imperial components</x:v>
      </x:c>
      <x:c r="H2" s="18" t="str">
        <x:v>high</x:v>
      </x:c>
      <x:c r="I2" s="28" t="b">
        <x:v>0</x:v>
      </x:c>
      <x:c r="J2" s="19"/>
    </x:row>
    <x:row r="3">
      <x:c r="A3" s="19" t="str">
        <x:v>DOUBLESTAR COMBODIA TBR CATALOGUE.pdf</x:v>
      </x:c>
      <x:c r="B3" s="19" t="str">
        <x:v>4-9</x:v>
      </x:c>
      <x:c r="C3" s="19" t="str">
        <x:v>Technical tables</x:v>
      </x:c>
      <x:c r="D3" s="19" t="str">
        <x:v>PR</x:v>
      </x:c>
      <x:c r="E3" s="20" t="str">
        <x:v>variant</x:v>
      </x:c>
      <x:c r="F3" s="20" t="str">
        <x:v>ply_rating_pr</x:v>
      </x:c>
      <x:c r="G3" s="20" t="str">
        <x:v>Parse integer</x:v>
      </x:c>
      <x:c r="H3" s="20" t="str">
        <x:v>high</x:v>
      </x:c>
      <x:c r="I3" s="31" t="b">
        <x:v>0</x:v>
      </x:c>
      <x:c r="J3" s="19"/>
    </x:row>
    <x:row r="4">
      <x:c r="A4" s="19" t="str">
        <x:v>DOUBLESTAR COMBODIA TBR CATALOGUE.pdf</x:v>
      </x:c>
      <x:c r="B4" s="19" t="str">
        <x:v>4-9</x:v>
      </x:c>
      <x:c r="C4" s="19" t="str">
        <x:v>Technical tables</x:v>
      </x:c>
      <x:c r="D4" s="19" t="str">
        <x:v>Tread Depth mm</x:v>
      </x:c>
      <x:c r="E4" s="18" t="str">
        <x:v>variant</x:v>
      </x:c>
      <x:c r="F4" s="18" t="str">
        <x:v>tread_depth_mm</x:v>
      </x:c>
      <x:c r="G4" s="18" t="str">
        <x:v>Preserve decimal mm</x:v>
      </x:c>
      <x:c r="H4" s="18" t="str">
        <x:v>high</x:v>
      </x:c>
      <x:c r="I4" s="28" t="b">
        <x:v>0</x:v>
      </x:c>
      <x:c r="J4" s="19"/>
    </x:row>
    <x:row r="5">
      <x:c r="A5" s="19" t="str">
        <x:v>DOUBLESTAR COMBODIA TBR CATALOGUE.pdf</x:v>
      </x:c>
      <x:c r="B5" s="19" t="str">
        <x:v>4-9</x:v>
      </x:c>
      <x:c r="C5" s="19" t="str">
        <x:v>Technical tables</x:v>
      </x:c>
      <x:c r="D5" s="19" t="str">
        <x:v>Tread Depth 1/32in</x:v>
      </x:c>
      <x:c r="E5" s="20" t="str">
        <x:v>variant</x:v>
      </x:c>
      <x:c r="F5" s="20" t="str">
        <x:v>tread_depth_32nd_in_source</x:v>
      </x:c>
      <x:c r="G5" s="20" t="str">
        <x:v>Preserve source integer</x:v>
      </x:c>
      <x:c r="H5" s="20" t="str">
        <x:v>high</x:v>
      </x:c>
      <x:c r="I5" s="31" t="b">
        <x:v>0</x:v>
      </x:c>
      <x:c r="J5" s="19"/>
    </x:row>
    <x:row r="6">
      <x:c r="A6" s="19" t="str">
        <x:v>DOUBLESTAR COMBODIA TBR CATALOGUE.pdf</x:v>
      </x:c>
      <x:c r="B6" s="19" t="str">
        <x:v>4-9</x:v>
      </x:c>
      <x:c r="C6" s="19" t="str">
        <x:v>Technical tables</x:v>
      </x:c>
      <x:c r="D6" s="19" t="str">
        <x:v>Standard Rim</x:v>
      </x:c>
      <x:c r="E6" s="18" t="str">
        <x:v>variant</x:v>
      </x:c>
      <x:c r="F6" s="18" t="str">
        <x:v>standard_rim_in</x:v>
      </x:c>
      <x:c r="G6" s="18" t="str">
        <x:v>Preserve decimal inches</x:v>
      </x:c>
      <x:c r="H6" s="18" t="str">
        <x:v>high</x:v>
      </x:c>
      <x:c r="I6" s="28" t="b">
        <x:v>0</x:v>
      </x:c>
      <x:c r="J6" s="19"/>
    </x:row>
    <x:row r="7">
      <x:c r="A7" s="19" t="str">
        <x:v>DOUBLESTAR COMBODIA TBR CATALOGUE.pdf</x:v>
      </x:c>
      <x:c r="B7" s="19" t="str">
        <x:v>4-9</x:v>
      </x:c>
      <x:c r="C7" s="19" t="str">
        <x:v>Technical tables</x:v>
      </x:c>
      <x:c r="D7" s="19" t="str">
        <x:v>Pressure (PSI)</x:v>
      </x:c>
      <x:c r="E7" s="20" t="str">
        <x:v>variant</x:v>
      </x:c>
      <x:c r="F7" s="20" t="str">
        <x:v>pressure_single_source</x:v>
      </x:c>
      <x:c r="G7" s="20" t="str">
        <x:v>Preserve source label/value; canonical data unit confirmed as kPa; calculate bar and PSI from kPa</x:v>
      </x:c>
      <x:c r="H7" s="20" t="str">
        <x:v>high</x:v>
      </x:c>
      <x:c r="I7" s="31" t="b">
        <x:v>0</x:v>
      </x:c>
      <x:c r="J7" s="19" t="str">
        <x:v>Unit decision approved by project owner on 2026-07-26; source header PSI remains preserved for audit.</x:v>
      </x:c>
    </x:row>
    <x:row r="8">
      <x:c r="A8" s="19" t="str">
        <x:v>DOUBLESTAR COMBODIA TBR CATALOGUE.pdf</x:v>
      </x:c>
      <x:c r="B8" s="19" t="str">
        <x:v>4-9</x:v>
      </x:c>
      <x:c r="C8" s="19" t="str">
        <x:v>Technical tables</x:v>
      </x:c>
      <x:c r="D8" s="19" t="str">
        <x:v>Max. Load (LBS)</x:v>
      </x:c>
      <x:c r="E8" s="18" t="str">
        <x:v>variant</x:v>
      </x:c>
      <x:c r="F8" s="18" t="str">
        <x:v>max_load_single_source</x:v>
      </x:c>
      <x:c r="G8" s="18" t="str">
        <x:v>Preserve source label/value; canonical data unit confirmed as kg; calculate lb from kg</x:v>
      </x:c>
      <x:c r="H8" s="18" t="str">
        <x:v>high</x:v>
      </x:c>
      <x:c r="I8" s="28" t="b">
        <x:v>0</x:v>
      </x:c>
      <x:c r="J8" s="19" t="str">
        <x:v>Unit decision approved by project owner on 2026-07-26; source header LBS remains preserved for audit.</x:v>
      </x:c>
    </x:row>
    <x:row r="9">
      <x:c r="A9" s="19" t="str">
        <x:v>DOUBLESTAR COMBODIA TBR CATALOGUE.pdf</x:v>
      </x:c>
      <x:c r="B9" s="19" t="str">
        <x:v>4-9</x:v>
      </x:c>
      <x:c r="C9" s="19" t="str">
        <x:v>Technical tables</x:v>
      </x:c>
      <x:c r="D9" s="19" t="str">
        <x:v>Load Index</x:v>
      </x:c>
      <x:c r="E9" s="20" t="str">
        <x:v>variant</x:v>
      </x:c>
      <x:c r="F9" s="20" t="str">
        <x:v>load_index_single/load_index_dual</x:v>
      </x:c>
      <x:c r="G9" s="20" t="str">
        <x:v>Preserve raw and parse primary/alternative</x:v>
      </x:c>
      <x:c r="H9" s="20" t="str">
        <x:v>high</x:v>
      </x:c>
      <x:c r="I9" s="31" t="b">
        <x:v>1</x:v>
      </x:c>
      <x:c r="J9" s="19" t="str">
        <x:v>Alternative notation and DSR188 value require review.</x:v>
      </x:c>
    </x:row>
    <x:row r="10">
      <x:c r="A10" s="19" t="str">
        <x:v>DOUBLESTAR COMBODIA TBR CATALOGUE.pdf</x:v>
      </x:c>
      <x:c r="B10" s="19" t="str">
        <x:v>4-9</x:v>
      </x:c>
      <x:c r="C10" s="19" t="str">
        <x:v>Technical tables</x:v>
      </x:c>
      <x:c r="D10" s="19" t="str">
        <x:v>Speed Grade</x:v>
      </x:c>
      <x:c r="E10" s="18" t="str">
        <x:v>variant</x:v>
      </x:c>
      <x:c r="F10" s="18" t="str">
        <x:v>speed_symbol</x:v>
      </x:c>
      <x:c r="G10" s="18" t="str">
        <x:v>Preserve raw and parse primary/alternative</x:v>
      </x:c>
      <x:c r="H10" s="18" t="str">
        <x:v>high</x:v>
      </x:c>
      <x:c r="I10" s="28" t="b">
        <x:v>1</x:v>
      </x:c>
      <x:c r="J10" s="19" t="str">
        <x:v>K(L) requires confirmation.</x:v>
      </x:c>
    </x:row>
    <x:row r="11">
      <x:c r="A11" s="19" t="str">
        <x:v>DOUBLESTAR COMBODIA TBR CATALOGUE.pdf</x:v>
      </x:c>
      <x:c r="B11" s="19" t="str">
        <x:v>4-9</x:v>
      </x:c>
      <x:c r="C11" s="19" t="str">
        <x:v>Technical tables</x:v>
      </x:c>
      <x:c r="D11" s="19" t="str">
        <x:v>Overall Diameter mm</x:v>
      </x:c>
      <x:c r="E11" s="20" t="str">
        <x:v>variant</x:v>
      </x:c>
      <x:c r="F11" s="20" t="str">
        <x:v>overall_diameter_mm</x:v>
      </x:c>
      <x:c r="G11" s="20" t="str">
        <x:v>Preserve integer mm</x:v>
      </x:c>
      <x:c r="H11" s="20" t="str">
        <x:v>high</x:v>
      </x:c>
      <x:c r="I11" s="31" t="b">
        <x:v>0</x:v>
      </x:c>
      <x:c r="J11" s="19"/>
    </x:row>
    <x:row r="12">
      <x:c r="A12" s="19" t="str">
        <x:v>DOUBLESTAR COMBODIA TBR CATALOGUE.pdf</x:v>
      </x:c>
      <x:c r="B12" s="19" t="str">
        <x:v>4-9</x:v>
      </x:c>
      <x:c r="C12" s="19" t="str">
        <x:v>Technical tables</x:v>
      </x:c>
      <x:c r="D12" s="19" t="str">
        <x:v>Section Width mm</x:v>
      </x:c>
      <x:c r="E12" s="18" t="str">
        <x:v>variant</x:v>
      </x:c>
      <x:c r="F12" s="18" t="str">
        <x:v>section_width_mm</x:v>
      </x:c>
      <x:c r="G12" s="18" t="str">
        <x:v>Preserve integer mm</x:v>
      </x:c>
      <x:c r="H12" s="18" t="str">
        <x:v>high</x:v>
      </x:c>
      <x:c r="I12" s="28" t="b">
        <x:v>0</x:v>
      </x:c>
      <x:c r="J12" s="19"/>
    </x:row>
    <x:row r="13">
      <x:c r="A13" s="19" t="str">
        <x:v>DOUBLESTAR COMBODIA TBR CATALOGUE.pdf</x:v>
      </x:c>
      <x:c r="B13" s="19" t="str">
        <x:v>4-9</x:v>
      </x:c>
      <x:c r="C13" s="19" t="str">
        <x:v>Technical tables</x:v>
      </x:c>
      <x:c r="D13" s="19" t="str">
        <x:v>Overall Diameter inch</x:v>
      </x:c>
      <x:c r="E13" s="20" t="str">
        <x:v>variant</x:v>
      </x:c>
      <x:c r="F13" s="20" t="str">
        <x:v>overall_diameter_in_source</x:v>
      </x:c>
      <x:c r="G13" s="20" t="str">
        <x:v>Preserve rounded source integer; calculate separately</x:v>
      </x:c>
      <x:c r="H13" s="20" t="str">
        <x:v>high</x:v>
      </x:c>
      <x:c r="I13" s="31" t="b">
        <x:v>0</x:v>
      </x:c>
      <x:c r="J13" s="19"/>
    </x:row>
    <x:row r="14">
      <x:c r="A14" s="19" t="str">
        <x:v>DOUBLESTAR COMBODIA TBR CATALOGUE.pdf</x:v>
      </x:c>
      <x:c r="B14" s="19" t="str">
        <x:v>4-9</x:v>
      </x:c>
      <x:c r="C14" s="19" t="str">
        <x:v>Technical tables</x:v>
      </x:c>
      <x:c r="D14" s="19" t="str">
        <x:v>Section Width inch</x:v>
      </x:c>
      <x:c r="E14" s="18" t="str">
        <x:v>variant</x:v>
      </x:c>
      <x:c r="F14" s="18" t="str">
        <x:v>section_width_in_source</x:v>
      </x:c>
      <x:c r="G14" s="18" t="str">
        <x:v>Preserve rounded source integer; calculate separately</x:v>
      </x:c>
      <x:c r="H14" s="18" t="str">
        <x:v>high</x:v>
      </x:c>
      <x:c r="I14" s="28" t="b">
        <x:v>0</x:v>
      </x:c>
      <x:c r="J14" s="19"/>
    </x:row>
    <x:row r="15">
      <x:c r="A15" s="19" t="str">
        <x:v>DOUBLESTAR COMBODIA TBR CATALOGUE.pdf</x:v>
      </x:c>
      <x:c r="B15" s="19" t="str">
        <x:v>4-9</x:v>
      </x:c>
      <x:c r="C15" s="19" t="str">
        <x:v>POSITION</x:v>
      </x:c>
      <x:c r="D15" s="19" t="str">
        <x:v>Steer and trailer</x:v>
      </x:c>
      <x:c r="E15" s="20" t="str">
        <x:v>model</x:v>
      </x:c>
      <x:c r="F15" s="20" t="str">
        <x:v>axle_steer/axle_trailer</x:v>
      </x:c>
      <x:c r="G15" s="20" t="str">
        <x:v>TRUE/FALSE normalization</x:v>
      </x:c>
      <x:c r="H15" s="20" t="str">
        <x:v>high</x:v>
      </x:c>
      <x:c r="I15" s="31" t="b">
        <x:v>0</x:v>
      </x:c>
      <x:c r="J15" s="19"/>
    </x:row>
    <x:row r="16">
      <x:c r="A16" s="19" t="str">
        <x:v>DOUBLESTAR COMBODIA TBR CATALOGUE.pdf</x:v>
      </x:c>
      <x:c r="B16" s="19" t="str">
        <x:v>4-9</x:v>
      </x:c>
      <x:c r="C16" s="19" t="str">
        <x:v>POSITION</x:v>
      </x:c>
      <x:c r="D16" s="19" t="str">
        <x:v>Drive</x:v>
      </x:c>
      <x:c r="E16" s="18" t="str">
        <x:v>model</x:v>
      </x:c>
      <x:c r="F16" s="18" t="str">
        <x:v>axle_drive</x:v>
      </x:c>
      <x:c r="G16" s="18" t="str">
        <x:v>TRUE/FALSE normalization</x:v>
      </x:c>
      <x:c r="H16" s="18" t="str">
        <x:v>high</x:v>
      </x:c>
      <x:c r="I16" s="28" t="b">
        <x:v>0</x:v>
      </x:c>
      <x:c r="J16" s="19"/>
    </x:row>
    <x:row r="17">
      <x:c r="A17" s="19" t="str">
        <x:v>DOUBLESTAR COMBODIA TBR CATALOGUE.pdf</x:v>
      </x:c>
      <x:c r="B17" s="19" t="str">
        <x:v>4-9</x:v>
      </x:c>
      <x:c r="C17" s="19" t="str">
        <x:v>POSITION</x:v>
      </x:c>
      <x:c r="D17" s="19" t="str">
        <x:v>Trailer</x:v>
      </x:c>
      <x:c r="E17" s="20" t="str">
        <x:v>model</x:v>
      </x:c>
      <x:c r="F17" s="20" t="str">
        <x:v>axle_trailer</x:v>
      </x:c>
      <x:c r="G17" s="20" t="str">
        <x:v>TRUE/FALSE normalization</x:v>
      </x:c>
      <x:c r="H17" s="20" t="str">
        <x:v>high</x:v>
      </x:c>
      <x:c r="I17" s="31" t="b">
        <x:v>0</x:v>
      </x:c>
      <x:c r="J17" s="19"/>
    </x:row>
    <x:row r="18">
      <x:c r="A18" s="19" t="str">
        <x:v>DOUBLESTAR COMBODIA TBR CATALOGUE.pdf</x:v>
      </x:c>
      <x:c r="B18" s="19" t="str">
        <x:v>4-9</x:v>
      </x:c>
      <x:c r="C18" s="19" t="str">
        <x:v>POSITION</x:v>
      </x:c>
      <x:c r="D18" s="19" t="str">
        <x:v>All position</x:v>
      </x:c>
      <x:c r="E18" s="18" t="str">
        <x:v>model</x:v>
      </x:c>
      <x:c r="F18" s="18" t="str">
        <x:v>axle_steer/axle_drive/axle_trailer</x:v>
      </x:c>
      <x:c r="G18" s="18" t="str">
        <x:v>All three TRUE</x:v>
      </x:c>
      <x:c r="H18" s="18" t="str">
        <x:v>high</x:v>
      </x:c>
      <x:c r="I18" s="28" t="b">
        <x:v>0</x:v>
      </x:c>
      <x:c r="J18" s="19"/>
    </x:row>
    <x:row r="19">
      <x:c r="A19" s="19" t="str">
        <x:v>DOUBLESTAR COMBODIA TBR CATALOGUE.pdf</x:v>
      </x:c>
      <x:c r="B19" s="19" t="str">
        <x:v>4-9</x:v>
      </x:c>
      <x:c r="C19" s="19" t="str">
        <x:v>POSITION</x:v>
      </x:c>
      <x:c r="D19" s="19" t="str">
        <x:v>Drive and trailer</x:v>
      </x:c>
      <x:c r="E19" s="20" t="str">
        <x:v>model</x:v>
      </x:c>
      <x:c r="F19" s="20" t="str">
        <x:v>axle_drive/axle_trailer</x:v>
      </x:c>
      <x:c r="G19" s="20" t="str">
        <x:v>Both TRUE</x:v>
      </x:c>
      <x:c r="H19" s="20" t="str">
        <x:v>high</x:v>
      </x:c>
      <x:c r="I19" s="31" t="b">
        <x:v>0</x:v>
      </x:c>
      <x:c r="J19" s="19"/>
    </x:row>
    <x:row r="20">
      <x:c r="A20" s="19" t="str">
        <x:v>DOUBLESTAR COMBODIA TBR CATALOGUE.pdf</x:v>
      </x:c>
      <x:c r="B20" s="19" t="str">
        <x:v>4-9</x:v>
      </x:c>
      <x:c r="C20" s="19" t="str">
        <x:v>Icon row</x:v>
      </x:c>
      <x:c r="D20" s="19" t="str">
        <x:v>Application/performance icons</x:v>
      </x:c>
      <x:c r="E20" s="18" t="str">
        <x:v>model</x:v>
      </x:c>
      <x:c r="F20" s="18" t="str">
        <x:v>application_keys/feature_keys</x:v>
      </x:c>
      <x:c r="G20" s="18" t="str">
        <x:v>Map visual labels to controlled dictionary</x:v>
      </x:c>
      <x:c r="H20" s="18" t="str">
        <x:v>high</x:v>
      </x:c>
      <x:c r="I20" s="28" t="b">
        <x:v>0</x:v>
      </x:c>
      <x:c r="J20" s="19" t="str">
        <x:v>Visually checked.</x:v>
      </x:c>
    </x:row>
    <x:row r="21">
      <x:c r="A21" s="19" t="str">
        <x:v>DOUBLESTAR COMBODIA TBR CATALOGUE.pdf</x:v>
      </x:c>
      <x:c r="B21" s="19" t="str">
        <x:v>4-9</x:v>
      </x:c>
      <x:c r="C21" s="19" t="str">
        <x:v>Feature text</x:v>
      </x:c>
      <x:c r="D21" s="19" t="str">
        <x:v>Marketing and technical copy</x:v>
      </x:c>
      <x:c r="E21" s="20" t="str">
        <x:v>model_feature</x:v>
      </x:c>
      <x:c r="F21" s="20" t="str">
        <x:v>feature_description_en_source</x:v>
      </x:c>
      <x:c r="G21" s="20" t="str">
        <x:v>Preserve/normalize text; Russian text is editorial translation</x:v>
      </x:c>
      <x:c r="H21" s="20" t="str">
        <x:v>medium</x:v>
      </x:c>
      <x:c r="I21" s="31" t="b">
        <x:v>1</x:v>
      </x:c>
      <x:c r="J21" s="19" t="str">
        <x:v>Copy requires editorial review.</x:v>
      </x:c>
    </x:row>
  </x:sheetData>
  <x:pageMargins left="0.7" right="0.7" top="0.75" bottom="0.75" header="0.3" footer="0.3"/>
  <x:tableParts count="1">
    <x:tablePart xmlns:r="http://schemas.openxmlformats.org/officeDocument/2006/relationships" r:id="Rbc887c5922c4474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2" hidden="0" customWidth="1"/>
    <x:col min="3" max="3" width="10" hidden="0" customWidth="1"/>
    <x:col min="4" max="4" width="22" hidden="0" customWidth="1"/>
    <x:col min="5" max="5" width="27" hidden="0" customWidth="1"/>
    <x:col min="6" max="6" width="12" hidden="0" customWidth="1"/>
    <x:col min="7" max="7" width="22" hidden="0" customWidth="1"/>
    <x:col min="8" max="8" width="19" hidden="0" customWidth="1"/>
    <x:col min="9" max="9" width="28" hidden="0" customWidth="1"/>
    <x:col min="10" max="10" width="18" hidden="0" customWidth="1"/>
    <x:col min="11" max="11" width="28" hidden="0" customWidth="1"/>
    <x:col min="12" max="12" width="28" hidden="0" customWidth="1"/>
    <x:col min="13" max="13" width="17" hidden="0" customWidth="1"/>
    <x:col min="14" max="14" width="18" hidden="0" customWidth="1"/>
    <x:col min="15" max="15" width="10" hidden="0" customWidth="1"/>
    <x:col min="16" max="16" width="28" hidden="0" customWidth="1"/>
  </x:cols>
  <x:sheetData>
    <x:row r="1" ht="34" customHeight="1">
      <x:c r="A1" s="17" t="str">
        <x:v>issue_id</x:v>
      </x:c>
      <x:c r="B1" s="17" t="str">
        <x:v>severity</x:v>
      </x:c>
      <x:c r="C1" s="17" t="str">
        <x:v>entity_type</x:v>
      </x:c>
      <x:c r="D1" s="17" t="str">
        <x:v>model_code</x:v>
      </x:c>
      <x:c r="E1" s="17" t="str">
        <x:v>variant_id</x:v>
      </x:c>
      <x:c r="F1" s="17" t="str">
        <x:v>source_page</x:v>
      </x:c>
      <x:c r="G1" s="17" t="str">
        <x:v>source_field</x:v>
      </x:c>
      <x:c r="H1" s="17" t="str">
        <x:v>source_value</x:v>
      </x:c>
      <x:c r="I1" s="17" t="str">
        <x:v>normalized_value</x:v>
      </x:c>
      <x:c r="J1" s="17" t="str">
        <x:v>issue_type</x:v>
      </x:c>
      <x:c r="K1" s="17" t="str">
        <x:v>description</x:v>
      </x:c>
      <x:c r="L1" s="17" t="str">
        <x:v>recommended_action</x:v>
      </x:c>
      <x:c r="M1" s="17" t="str">
        <x:v>blocks_publication</x:v>
      </x:c>
      <x:c r="N1" s="17" t="str">
        <x:v>verification_status</x:v>
      </x:c>
      <x:c r="O1" s="17" t="str">
        <x:v>resolved</x:v>
      </x:c>
      <x:c r="P1" s="17" t="str">
        <x:v>resolution_notes</x:v>
      </x:c>
    </x:row>
    <x:row r="2">
      <x:c r="A2" s="18" t="str">
        <x:v>QA-001</x:v>
      </x:c>
      <x:c r="B2" s="18" t="str">
        <x:v>critical</x:v>
      </x:c>
      <x:c r="C2" s="18" t="str">
        <x:v>variant</x:v>
      </x:c>
      <x:c r="D2" s="18"/>
      <x:c r="E2" s="18"/>
      <x:c r="F2" s="19" t="str">
        <x:v>4-9</x:v>
      </x:c>
      <x:c r="G2" s="19" t="str">
        <x:v>Pressure (PSI)</x:v>
      </x:c>
      <x:c r="H2" s="19" t="str">
        <x:v>700-960</x:v>
      </x:c>
      <x:c r="I2" s="18" t="str">
        <x:v>kPa (approved canonical unit)</x:v>
      </x:c>
      <x:c r="J2" s="18" t="str">
        <x:v>unit_mismatch</x:v>
      </x:c>
      <x:c r="K2" s="18" t="str">
        <x:v>Исходный заголовок PSI сохранён для аудита; значения утверждены к использованию как kPa.</x:v>
      </x:c>
      <x:c r="L2" s="18" t="str">
        <x:v>Использовать kPa как каноническую единицу; bar и PSI рассчитывать из kPa.</x:v>
      </x:c>
      <x:c r="M2" s="28" t="b">
        <x:v>0</x:v>
      </x:c>
      <x:c r="N2" s="19" t="str">
        <x:v>verified</x:v>
      </x:c>
      <x:c r="O2" s="28" t="b">
        <x:v>1</x:v>
      </x:c>
      <x:c r="P2" s="19" t="str">
        <x:v>Утверждено владельцем проекта 2026-07-26. Это проектное решение; исходный заголовок PDF не изменён.</x:v>
      </x:c>
    </x:row>
    <x:row r="3">
      <x:c r="A3" s="20" t="str">
        <x:v>QA-002</x:v>
      </x:c>
      <x:c r="B3" s="20" t="str">
        <x:v>critical</x:v>
      </x:c>
      <x:c r="C3" s="20" t="str">
        <x:v>variant</x:v>
      </x:c>
      <x:c r="D3" s="20"/>
      <x:c r="E3" s="20"/>
      <x:c r="F3" s="19" t="str">
        <x:v>4-9</x:v>
      </x:c>
      <x:c r="G3" s="19" t="str">
        <x:v>Max. Load (LBS)</x:v>
      </x:c>
      <x:c r="H3" s="19" t="str">
        <x:v>1700-5800</x:v>
      </x:c>
      <x:c r="I3" s="20" t="str">
        <x:v>kg (approved canonical unit)</x:v>
      </x:c>
      <x:c r="J3" s="20" t="str">
        <x:v>unit_mismatch</x:v>
      </x:c>
      <x:c r="K3" s="20" t="str">
        <x:v>Исходный заголовок LBS сохранён для аудита; значения утверждены к использованию как kg.</x:v>
      </x:c>
      <x:c r="L3" s="20" t="str">
        <x:v>Использовать kg как каноническую единицу; lb рассчитывать из kg.</x:v>
      </x:c>
      <x:c r="M3" s="31" t="b">
        <x:v>0</x:v>
      </x:c>
      <x:c r="N3" s="19" t="str">
        <x:v>verified</x:v>
      </x:c>
      <x:c r="O3" s="31" t="b">
        <x:v>1</x:v>
      </x:c>
      <x:c r="P3" s="19" t="str">
        <x:v>Утверждено владельцем проекта 2026-07-26. Это проектное решение; исходный заголовок PDF не изменён.</x:v>
      </x:c>
    </x:row>
    <x:row r="4">
      <x:c r="A4" s="18" t="str">
        <x:v>QA-003</x:v>
      </x:c>
      <x:c r="B4" s="18" t="str">
        <x:v>critical</x:v>
      </x:c>
      <x:c r="C4" s="18" t="str">
        <x:v>variant</x:v>
      </x:c>
      <x:c r="D4" s="18" t="str">
        <x:v>DSR188</x:v>
      </x:c>
      <x:c r="E4" s="18" t="str">
        <x:v>BIZON-VAR-DSR188-1200R20-20PR</x:v>
      </x:c>
      <x:c r="F4" s="19" t="n">
        <x:v>9</x:v>
      </x:c>
      <x:c r="G4" s="19" t="str">
        <x:v>Load Index Dual</x:v>
      </x:c>
      <x:c r="H4" s="19" t="str">
        <x:v>183</x:v>
      </x:c>
      <x:c r="I4" s="18" t="str">
        <x:v>183 (retained; verification pending)</x:v>
      </x:c>
      <x:c r="J4" s="18" t="str">
        <x:v>suspicious_value</x:v>
      </x:c>
      <x:c r="K4" s="18" t="str">
        <x:v>Значение 183 сохраняется без исправления по решению владельца проекта, но требует последующей сверки.</x:v>
      </x:c>
      <x:c r="L4" s="18" t="str">
        <x:v>Не изменять автоматически; подтвердить по технической спецификации DSR188.</x:v>
      </x:c>
      <x:c r="M4" s="28" t="b">
        <x:v>1</x:v>
      </x:c>
      <x:c r="N4" s="19" t="str">
        <x:v>needs_review</x:v>
      </x:c>
      <x:c r="O4" s="28" t="b">
        <x:v>0</x:v>
      </x:c>
      <x:c r="P4" s="19" t="str">
        <x:v>Решение 2026-07-26: оставить 183 в источнике истины и сохранить напоминание о проверке.</x:v>
      </x:c>
    </x:row>
    <x:row r="5">
      <x:c r="A5" s="20" t="str">
        <x:v>QA-004</x:v>
      </x:c>
      <x:c r="B5" s="20" t="str">
        <x:v>high</x:v>
      </x:c>
      <x:c r="C5" s="20" t="str">
        <x:v>variant</x:v>
      </x:c>
      <x:c r="D5" s="20" t="str">
        <x:v>DLA968 / DMS100 / DSR118</x:v>
      </x:c>
      <x:c r="E5" s="20"/>
      <x:c r="F5" s="19" t="str">
        <x:v>4-5</x:v>
      </x:c>
      <x:c r="G5" s="19" t="str">
        <x:v>Load Index / Speed Grade</x:v>
      </x:c>
      <x:c r="H5" s="19" t="str">
        <x:v>160(158), K(L)</x:v>
      </x:c>
      <x:c r="I5" s="20" t="str">
        <x:v>Primary + alternative fields (meaning unresolved)</x:v>
      </x:c>
      <x:c r="J5" s="20" t="str">
        <x:v>ambiguous_notation</x:v>
      </x:c>
      <x:c r="K5" s="20" t="str">
        <x:v>Обозначения 160(158) и K(L) сохранены и разобраны на основные/альтернативные поля, но их смысл остаётся неясным.</x:v>
      </x:c>
      <x:c r="L5" s="20" t="str">
        <x:v>Не интерпретировать как подтверждённые пары рейтингов; запросить расшифровку производителя.</x:v>
      </x:c>
      <x:c r="M5" s="31" t="b">
        <x:v>1</x:v>
      </x:c>
      <x:c r="N5" s="19" t="str">
        <x:v>needs_review</x:v>
      </x:c>
      <x:c r="O5" s="31" t="b">
        <x:v>0</x:v>
      </x:c>
      <x:c r="P5" s="19" t="str">
        <x:v>Решение 2026-07-26: оставить неоднозначность открытой и блокирующей для затронутых вариантов.</x:v>
      </x:c>
    </x:row>
    <x:row r="6">
      <x:c r="A6" s="18" t="str">
        <x:v>QA-005</x:v>
      </x:c>
      <x:c r="B6" s="18" t="str">
        <x:v>medium</x:v>
      </x:c>
      <x:c r="C6" s="18" t="str">
        <x:v>variant</x:v>
      </x:c>
      <x:c r="D6" s="18"/>
      <x:c r="E6" s="18"/>
      <x:c r="F6" s="19" t="str">
        <x:v>4-9</x:v>
      </x:c>
      <x:c r="G6" s="19" t="str">
        <x:v>Overall/Section inch</x:v>
      </x:c>
      <x:c r="H6" s="19" t="str">
        <x:v>Integer source values</x:v>
      </x:c>
      <x:c r="I6" s="18" t="str">
        <x:v>Calculated values kept separately</x:v>
      </x:c>
      <x:c r="J6" s="18" t="str">
        <x:v>rounded_source</x:v>
      </x:c>
      <x:c r="K6" s="18" t="str">
        <x:v>Дюймовые значения в PDF округлены до целых и не всегда совпадают с mm/25.4.</x:v>
      </x:c>
      <x:c r="L6" s="18" t="str">
        <x:v>Считать mm каноническими после подтверждения; исходные inch не заменять.</x:v>
      </x:c>
      <x:c r="M6" s="28" t="b">
        <x:v>0</x:v>
      </x:c>
      <x:c r="N6" s="19" t="str">
        <x:v>source_only</x:v>
      </x:c>
      <x:c r="O6" s="28" t="b">
        <x:v>0</x:v>
      </x:c>
      <x:c r="P6" s="19"/>
    </x:row>
    <x:row r="7">
      <x:c r="A7" s="20" t="str">
        <x:v>QA-006</x:v>
      </x:c>
      <x:c r="B7" s="20" t="str">
        <x:v>medium</x:v>
      </x:c>
      <x:c r="C7" s="20" t="str">
        <x:v>model</x:v>
      </x:c>
      <x:c r="D7" s="20"/>
      <x:c r="E7" s="20"/>
      <x:c r="F7" s="19" t="str">
        <x:v>4-9</x:v>
      </x:c>
      <x:c r="G7" s="19" t="str">
        <x:v>Russian content</x:v>
      </x:c>
      <x:c r="H7" s="19" t="str">
        <x:v>Editorial translation</x:v>
      </x:c>
      <x:c r="I7" s="20" t="str">
        <x:v>Russian editorial fields</x:v>
      </x:c>
      <x:c r="J7" s="20" t="str">
        <x:v>translation_review</x:v>
      </x:c>
      <x:c r="K7" s="20" t="str">
        <x:v>Русские описания и переводы преимуществ не являются текстом производителя.</x:v>
      </x:c>
      <x:c r="L7" s="20" t="str">
        <x:v>Провести редакторскую и юридическую проверку перед публикацией.</x:v>
      </x:c>
      <x:c r="M7" s="31" t="b">
        <x:v>0</x:v>
      </x:c>
      <x:c r="N7" s="19" t="str">
        <x:v>needs_review</x:v>
      </x:c>
      <x:c r="O7" s="31" t="b">
        <x:v>0</x:v>
      </x:c>
      <x:c r="P7" s="19"/>
    </x:row>
    <x:row r="8">
      <x:c r="A8" s="18" t="str">
        <x:v>QA-007</x:v>
      </x:c>
      <x:c r="B8" s="18" t="str">
        <x:v>low</x:v>
      </x:c>
      <x:c r="C8" s="18" t="str">
        <x:v>variant</x:v>
      </x:c>
      <x:c r="D8" s="18"/>
      <x:c r="E8" s="18"/>
      <x:c r="F8" s="19" t="str">
        <x:v>4-9</x:v>
      </x:c>
      <x:c r="G8" s="19" t="str">
        <x:v>supplier_sku</x:v>
      </x:c>
      <x:c r="H8" s="19" t="str">
        <x:v>Missing</x:v>
      </x:c>
      <x:c r="I8" s="18"/>
      <x:c r="J8" s="18" t="str">
        <x:v>missing_source_data</x:v>
      </x:c>
      <x:c r="K8" s="18" t="str">
        <x:v>SKU поставщика отсутствует в каталоге.</x:v>
      </x:c>
      <x:c r="L8" s="18" t="str">
        <x:v>Заполнить только из подтверждённого файла поставщика; не генерировать.</x:v>
      </x:c>
      <x:c r="M8" s="28" t="b">
        <x:v>0</x:v>
      </x:c>
      <x:c r="N8" s="19" t="str">
        <x:v>source_only</x:v>
      </x:c>
      <x:c r="O8" s="28" t="b">
        <x:v>0</x:v>
      </x:c>
      <x:c r="P8" s="19"/>
    </x:row>
  </x:sheetData>
  <x:conditionalFormatting sqref="N2:N8">
    <x:cfRule type="containsText" dxfId="17" priority="1" operator="containsText" text="verified"/>
    <x:cfRule type="containsText" dxfId="18" priority="2" operator="containsText" text="needs_review"/>
    <x:cfRule type="containsText" dxfId="19" priority="3" operator="containsText" text="rejected"/>
  </x:conditionalFormatting>
  <x:conditionalFormatting sqref="M2:M8">
    <x:cfRule type="cellIs" dxfId="20" priority="4" operator="equal">
      <x:formula>1</x:formula>
    </x:cfRule>
  </x:conditionalFormatting>
  <x:dataValidations count="3">
    <x:dataValidation type="list" sqref="N2:N8">
      <x:formula1>"verified,needs_review,source_only,rejected"</x:formula1>
    </x:dataValidation>
    <x:dataValidation type="list" sqref="M2:M8">
      <x:formula1>"TRUE,FALSE"</x:formula1>
    </x:dataValidation>
    <x:dataValidation type="list" sqref="O2:O8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e712a19453e442a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2" hidden="0" customWidth="1"/>
    <x:col min="3" max="3" width="18" hidden="0" customWidth="1"/>
    <x:col min="4" max="4" width="18" hidden="0" customWidth="1"/>
    <x:col min="5" max="5" width="28" hidden="0" customWidth="1"/>
    <x:col min="6" max="6" width="28" hidden="0" customWidth="1"/>
    <x:col min="7" max="7" width="12" hidden="0" customWidth="1"/>
    <x:col min="8" max="8" width="12" hidden="0" customWidth="1"/>
    <x:col min="9" max="9" width="17" hidden="0" customWidth="1"/>
    <x:col min="10" max="10" width="15" hidden="0" customWidth="1"/>
    <x:col min="11" max="11" width="12" hidden="0" customWidth="1"/>
    <x:col min="12" max="12" width="28" hidden="0" customWidth="1"/>
  </x:cols>
  <x:sheetData>
    <x:row r="1" ht="34" customHeight="1">
      <x:c r="A1" s="17" t="str">
        <x:v>rule_id</x:v>
      </x:c>
      <x:c r="B1" s="17" t="str">
        <x:v>entity</x:v>
      </x:c>
      <x:c r="C1" s="17" t="str">
        <x:v>field</x:v>
      </x:c>
      <x:c r="D1" s="17" t="str">
        <x:v>rule_type</x:v>
      </x:c>
      <x:c r="E1" s="17" t="str">
        <x:v>rule_expression</x:v>
      </x:c>
      <x:c r="F1" s="17" t="str">
        <x:v>error_message_ru</x:v>
      </x:c>
      <x:c r="G1" s="17" t="str">
        <x:v>severity</x:v>
      </x:c>
      <x:c r="H1" s="17" t="str">
        <x:v>blocks_import</x:v>
      </x:c>
      <x:c r="I1" s="17" t="str">
        <x:v>blocks_publication</x:v>
      </x:c>
      <x:c r="J1" s="17" t="str">
        <x:v>auto_fix_allowed</x:v>
      </x:c>
      <x:c r="K1" s="17" t="str">
        <x:v>auto_fix_rule</x:v>
      </x:c>
      <x:c r="L1" s="17" t="str">
        <x:v>notes</x:v>
      </x:c>
    </x:row>
    <x:row r="2">
      <x:c r="A2" s="18" t="str">
        <x:v>VAL-001</x:v>
      </x:c>
      <x:c r="B2" s="18" t="str">
        <x:v>model</x:v>
      </x:c>
      <x:c r="C2" s="18" t="str">
        <x:v>model_id</x:v>
      </x:c>
      <x:c r="D2" s="18" t="str">
        <x:v>unique</x:v>
      </x:c>
      <x:c r="E2" s="18" t="str">
        <x:v>COUNTIF(model_id,current)=1</x:v>
      </x:c>
      <x:c r="F2" s="18" t="str">
        <x:v>model_id должен быть уникальным</x:v>
      </x:c>
      <x:c r="G2" s="18" t="str">
        <x:v>critical</x:v>
      </x:c>
      <x:c r="H2" s="28" t="b">
        <x:v>1</x:v>
      </x:c>
      <x:c r="I2" s="28" t="b">
        <x:v>1</x:v>
      </x:c>
      <x:c r="J2" s="28" t="b">
        <x:v>0</x:v>
      </x:c>
      <x:c r="K2" s="18" t="str"/>
      <x:c r="L2" s="19" t="str"/>
    </x:row>
    <x:row r="3">
      <x:c r="A3" s="20" t="str">
        <x:v>VAL-002</x:v>
      </x:c>
      <x:c r="B3" s="20" t="str">
        <x:v>variant</x:v>
      </x:c>
      <x:c r="C3" s="20" t="str">
        <x:v>variant_id</x:v>
      </x:c>
      <x:c r="D3" s="20" t="str">
        <x:v>unique</x:v>
      </x:c>
      <x:c r="E3" s="20" t="str">
        <x:v>COUNTIF(variant_id,current)=1</x:v>
      </x:c>
      <x:c r="F3" s="20" t="str">
        <x:v>variant_id должен быть уникальным</x:v>
      </x:c>
      <x:c r="G3" s="20" t="str">
        <x:v>critical</x:v>
      </x:c>
      <x:c r="H3" s="31" t="b">
        <x:v>1</x:v>
      </x:c>
      <x:c r="I3" s="31" t="b">
        <x:v>1</x:v>
      </x:c>
      <x:c r="J3" s="31" t="b">
        <x:v>0</x:v>
      </x:c>
      <x:c r="K3" s="20" t="str"/>
      <x:c r="L3" s="19" t="str"/>
    </x:row>
    <x:row r="4">
      <x:c r="A4" s="18" t="str">
        <x:v>VAL-003</x:v>
      </x:c>
      <x:c r="B4" s="18" t="str">
        <x:v>variant</x:v>
      </x:c>
      <x:c r="C4" s="18" t="str">
        <x:v>sku</x:v>
      </x:c>
      <x:c r="D4" s="18" t="str">
        <x:v>unique</x:v>
      </x:c>
      <x:c r="E4" s="18" t="str">
        <x:v>COUNTIF(sku,current)=1</x:v>
      </x:c>
      <x:c r="F4" s="18" t="str">
        <x:v>SKU должен быть уникальным</x:v>
      </x:c>
      <x:c r="G4" s="18" t="str">
        <x:v>critical</x:v>
      </x:c>
      <x:c r="H4" s="28" t="b">
        <x:v>1</x:v>
      </x:c>
      <x:c r="I4" s="28" t="b">
        <x:v>1</x:v>
      </x:c>
      <x:c r="J4" s="28" t="b">
        <x:v>0</x:v>
      </x:c>
      <x:c r="K4" s="18" t="str"/>
      <x:c r="L4" s="19" t="str"/>
    </x:row>
    <x:row r="5">
      <x:c r="A5" s="20" t="str">
        <x:v>VAL-004</x:v>
      </x:c>
      <x:c r="B5" s="20" t="str">
        <x:v>variant</x:v>
      </x:c>
      <x:c r="C5" s="20" t="str">
        <x:v>model_id</x:v>
      </x:c>
      <x:c r="D5" s="20" t="str">
        <x:v>foreign_key</x:v>
      </x:c>
      <x:c r="E5" s="20" t="str">
        <x:v>EXISTS(01_TIRE_MODELS.model_id)</x:v>
      </x:c>
      <x:c r="F5" s="20" t="str">
        <x:v>model_id варианта отсутствует в моделях</x:v>
      </x:c>
      <x:c r="G5" s="20" t="str">
        <x:v>critical</x:v>
      </x:c>
      <x:c r="H5" s="31" t="b">
        <x:v>1</x:v>
      </x:c>
      <x:c r="I5" s="31" t="b">
        <x:v>1</x:v>
      </x:c>
      <x:c r="J5" s="31" t="b">
        <x:v>0</x:v>
      </x:c>
      <x:c r="K5" s="20" t="str"/>
      <x:c r="L5" s="19" t="str"/>
    </x:row>
    <x:row r="6">
      <x:c r="A6" s="18" t="str">
        <x:v>VAL-005</x:v>
      </x:c>
      <x:c r="B6" s="18" t="str">
        <x:v>variant</x:v>
      </x:c>
      <x:c r="C6" s="18" t="str">
        <x:v>size_raw</x:v>
      </x:c>
      <x:c r="D6" s="18" t="str">
        <x:v>regex</x:v>
      </x:c>
      <x:c r="E6" s="18" t="str">
        <x:v>^(\d{3}/\d{2}|\d+(\.\d+)?)R\d+(\.\d+)?$</x:v>
      </x:c>
      <x:c r="F6" s="18" t="str">
        <x:v>Неверный формат типоразмера</x:v>
      </x:c>
      <x:c r="G6" s="18" t="str">
        <x:v>high</x:v>
      </x:c>
      <x:c r="H6" s="28" t="b">
        <x:v>1</x:v>
      </x:c>
      <x:c r="I6" s="28" t="b">
        <x:v>1</x:v>
      </x:c>
      <x:c r="J6" s="28" t="b">
        <x:v>0</x:v>
      </x:c>
      <x:c r="K6" s="18" t="str"/>
      <x:c r="L6" s="19" t="str"/>
    </x:row>
    <x:row r="7">
      <x:c r="A7" s="20" t="str">
        <x:v>VAL-006</x:v>
      </x:c>
      <x:c r="B7" s="20" t="str">
        <x:v>variant</x:v>
      </x:c>
      <x:c r="C7" s="20" t="str">
        <x:v>nominal_width_mm</x:v>
      </x:c>
      <x:c r="D7" s="20" t="str">
        <x:v>range</x:v>
      </x:c>
      <x:c r="E7" s="20" t="str">
        <x:v>100&lt;=value&lt;=600 OR NULL</x:v>
      </x:c>
      <x:c r="F7" s="20" t="str">
        <x:v>Метрическая ширина вне разумного диапазона</x:v>
      </x:c>
      <x:c r="G7" s="20" t="str">
        <x:v>high</x:v>
      </x:c>
      <x:c r="H7" s="31" t="b">
        <x:v>1</x:v>
      </x:c>
      <x:c r="I7" s="31" t="b">
        <x:v>1</x:v>
      </x:c>
      <x:c r="J7" s="31" t="b">
        <x:v>0</x:v>
      </x:c>
      <x:c r="K7" s="20" t="str"/>
      <x:c r="L7" s="19" t="str"/>
    </x:row>
    <x:row r="8">
      <x:c r="A8" s="18" t="str">
        <x:v>VAL-007</x:v>
      </x:c>
      <x:c r="B8" s="18" t="str">
        <x:v>variant</x:v>
      </x:c>
      <x:c r="C8" s="18" t="str">
        <x:v>rim_diameter_in</x:v>
      </x:c>
      <x:c r="D8" s="18" t="str">
        <x:v>positive</x:v>
      </x:c>
      <x:c r="E8" s="18" t="str">
        <x:v>value&gt;0</x:v>
      </x:c>
      <x:c r="F8" s="18" t="str">
        <x:v>Диаметр обода должен быть больше 0</x:v>
      </x:c>
      <x:c r="G8" s="18" t="str">
        <x:v>critical</x:v>
      </x:c>
      <x:c r="H8" s="28" t="b">
        <x:v>1</x:v>
      </x:c>
      <x:c r="I8" s="28" t="b">
        <x:v>1</x:v>
      </x:c>
      <x:c r="J8" s="28" t="b">
        <x:v>0</x:v>
      </x:c>
      <x:c r="K8" s="18" t="str"/>
      <x:c r="L8" s="19" t="str"/>
    </x:row>
    <x:row r="9">
      <x:c r="A9" s="20" t="str">
        <x:v>VAL-008</x:v>
      </x:c>
      <x:c r="B9" s="20" t="str">
        <x:v>variant</x:v>
      </x:c>
      <x:c r="C9" s="20" t="str">
        <x:v>ply_rating_pr</x:v>
      </x:c>
      <x:c r="D9" s="20" t="str">
        <x:v>positive</x:v>
      </x:c>
      <x:c r="E9" s="20" t="str">
        <x:v>value&gt;0</x:v>
      </x:c>
      <x:c r="F9" s="20" t="str">
        <x:v>PR должен быть больше 0</x:v>
      </x:c>
      <x:c r="G9" s="20" t="str">
        <x:v>critical</x:v>
      </x:c>
      <x:c r="H9" s="31" t="b">
        <x:v>1</x:v>
      </x:c>
      <x:c r="I9" s="31" t="b">
        <x:v>1</x:v>
      </x:c>
      <x:c r="J9" s="31" t="b">
        <x:v>0</x:v>
      </x:c>
      <x:c r="K9" s="20" t="str"/>
      <x:c r="L9" s="19" t="str"/>
    </x:row>
    <x:row r="10">
      <x:c r="A10" s="18" t="str">
        <x:v>VAL-009</x:v>
      </x:c>
      <x:c r="B10" s="18" t="str">
        <x:v>variant</x:v>
      </x:c>
      <x:c r="C10" s="18" t="str">
        <x:v>tread_depth_mm</x:v>
      </x:c>
      <x:c r="D10" s="18" t="str">
        <x:v>positive</x:v>
      </x:c>
      <x:c r="E10" s="18" t="str">
        <x:v>value&gt;0</x:v>
      </x:c>
      <x:c r="F10" s="18" t="str">
        <x:v>Глубина протектора должна быть больше 0</x:v>
      </x:c>
      <x:c r="G10" s="18" t="str">
        <x:v>critical</x:v>
      </x:c>
      <x:c r="H10" s="28" t="b">
        <x:v>1</x:v>
      </x:c>
      <x:c r="I10" s="28" t="b">
        <x:v>1</x:v>
      </x:c>
      <x:c r="J10" s="28" t="b">
        <x:v>0</x:v>
      </x:c>
      <x:c r="K10" s="18" t="str"/>
      <x:c r="L10" s="19" t="str"/>
    </x:row>
    <x:row r="11">
      <x:c r="A11" s="20" t="str">
        <x:v>VAL-010</x:v>
      </x:c>
      <x:c r="B11" s="20" t="str">
        <x:v>variant</x:v>
      </x:c>
      <x:c r="C11" s="20" t="str">
        <x:v>pressure_single_kpa</x:v>
      </x:c>
      <x:c r="D11" s="20" t="str">
        <x:v>verification</x:v>
      </x:c>
      <x:c r="E11" s="20" t="str">
        <x:v>pressure_unit_verification_status=verified</x:v>
      </x:c>
      <x:c r="F11" s="20" t="str">
        <x:v>Давление нельзя публиковать без подтверждённой единицы</x:v>
      </x:c>
      <x:c r="G11" s="20" t="str">
        <x:v>critical</x:v>
      </x:c>
      <x:c r="H11" s="31" t="b">
        <x:v>0</x:v>
      </x:c>
      <x:c r="I11" s="31" t="b">
        <x:v>1</x:v>
      </x:c>
      <x:c r="J11" s="31" t="b">
        <x:v>0</x:v>
      </x:c>
      <x:c r="K11" s="20" t="str"/>
      <x:c r="L11" s="19" t="str"/>
    </x:row>
    <x:row r="12">
      <x:c r="A12" s="18" t="str">
        <x:v>VAL-011</x:v>
      </x:c>
      <x:c r="B12" s="18" t="str">
        <x:v>variant</x:v>
      </x:c>
      <x:c r="C12" s="18" t="str">
        <x:v>max_load_single_kg</x:v>
      </x:c>
      <x:c r="D12" s="18" t="str">
        <x:v>verification</x:v>
      </x:c>
      <x:c r="E12" s="18" t="str">
        <x:v>max_load_unit_verification_status=verified</x:v>
      </x:c>
      <x:c r="F12" s="18" t="str">
        <x:v>Нагрузку нельзя публиковать без подтверждённой единицы</x:v>
      </x:c>
      <x:c r="G12" s="18" t="str">
        <x:v>critical</x:v>
      </x:c>
      <x:c r="H12" s="28" t="b">
        <x:v>0</x:v>
      </x:c>
      <x:c r="I12" s="28" t="b">
        <x:v>1</x:v>
      </x:c>
      <x:c r="J12" s="28" t="b">
        <x:v>0</x:v>
      </x:c>
      <x:c r="K12" s="18" t="str"/>
      <x:c r="L12" s="19" t="str"/>
    </x:row>
    <x:row r="13">
      <x:c r="A13" s="20" t="str">
        <x:v>VAL-012</x:v>
      </x:c>
      <x:c r="B13" s="20" t="str">
        <x:v>variant</x:v>
      </x:c>
      <x:c r="C13" s="20" t="str">
        <x:v>load_index_single</x:v>
      </x:c>
      <x:c r="D13" s="20" t="str">
        <x:v>dictionary_or_review</x:v>
      </x:c>
      <x:c r="E13" s="20" t="str">
        <x:v>known_load_index OR needs_review</x:v>
      </x:c>
      <x:c r="F13" s="20" t="str">
        <x:v>Индекс нагрузки должен быть подтверждён</x:v>
      </x:c>
      <x:c r="G13" s="20" t="str">
        <x:v>high</x:v>
      </x:c>
      <x:c r="H13" s="31" t="b">
        <x:v>0</x:v>
      </x:c>
      <x:c r="I13" s="31" t="b">
        <x:v>1</x:v>
      </x:c>
      <x:c r="J13" s="31" t="b">
        <x:v>0</x:v>
      </x:c>
      <x:c r="K13" s="20" t="str"/>
      <x:c r="L13" s="19" t="str"/>
    </x:row>
    <x:row r="14">
      <x:c r="A14" s="18" t="str">
        <x:v>VAL-013</x:v>
      </x:c>
      <x:c r="B14" s="18" t="str">
        <x:v>variant</x:v>
      </x:c>
      <x:c r="C14" s="18" t="str">
        <x:v>speed_symbol</x:v>
      </x:c>
      <x:c r="D14" s="18" t="str">
        <x:v>dictionary</x:v>
      </x:c>
      <x:c r="E14" s="18" t="str">
        <x:v>IN(speed_symbols)</x:v>
      </x:c>
      <x:c r="F14" s="18" t="str">
        <x:v>Неизвестный символ скорости</x:v>
      </x:c>
      <x:c r="G14" s="18" t="str">
        <x:v>high</x:v>
      </x:c>
      <x:c r="H14" s="28" t="b">
        <x:v>1</x:v>
      </x:c>
      <x:c r="I14" s="28" t="b">
        <x:v>1</x:v>
      </x:c>
      <x:c r="J14" s="28" t="b">
        <x:v>0</x:v>
      </x:c>
      <x:c r="K14" s="18" t="str"/>
      <x:c r="L14" s="19" t="str"/>
    </x:row>
    <x:row r="15">
      <x:c r="A15" s="20" t="str">
        <x:v>VAL-014</x:v>
      </x:c>
      <x:c r="B15" s="20" t="str">
        <x:v>variant</x:v>
      </x:c>
      <x:c r="C15" s="20" t="str">
        <x:v>overall_diameter_mm</x:v>
      </x:c>
      <x:c r="D15" s="20" t="str">
        <x:v>comparison</x:v>
      </x:c>
      <x:c r="E15" s="20" t="str">
        <x:v>overall_diameter_mm&gt;section_width_mm</x:v>
      </x:c>
      <x:c r="F15" s="20" t="str">
        <x:v>Наружный диаметр должен быть больше ширины профиля</x:v>
      </x:c>
      <x:c r="G15" s="20" t="str">
        <x:v>critical</x:v>
      </x:c>
      <x:c r="H15" s="31" t="b">
        <x:v>1</x:v>
      </x:c>
      <x:c r="I15" s="31" t="b">
        <x:v>1</x:v>
      </x:c>
      <x:c r="J15" s="31" t="b">
        <x:v>0</x:v>
      </x:c>
      <x:c r="K15" s="20" t="str"/>
      <x:c r="L15" s="19" t="str"/>
    </x:row>
    <x:row r="16">
      <x:c r="A16" s="18" t="str">
        <x:v>VAL-015</x:v>
      </x:c>
      <x:c r="B16" s="18" t="str">
        <x:v>model/variant</x:v>
      </x:c>
      <x:c r="C16" s="18" t="str">
        <x:v>publication_status</x:v>
      </x:c>
      <x:c r="D16" s="18" t="str">
        <x:v>conditional</x:v>
      </x:c>
      <x:c r="E16" s="18" t="str">
        <x:v>published =&gt; verification_status=verified</x:v>
      </x:c>
      <x:c r="F16" s="18" t="str">
        <x:v>Публикация допускается только после проверки</x:v>
      </x:c>
      <x:c r="G16" s="18" t="str">
        <x:v>critical</x:v>
      </x:c>
      <x:c r="H16" s="28" t="b">
        <x:v>0</x:v>
      </x:c>
      <x:c r="I16" s="28" t="b">
        <x:v>1</x:v>
      </x:c>
      <x:c r="J16" s="28" t="b">
        <x:v>0</x:v>
      </x:c>
      <x:c r="K16" s="18" t="str"/>
      <x:c r="L16" s="19" t="str"/>
    </x:row>
    <x:row r="17">
      <x:c r="A17" s="20" t="str">
        <x:v>VAL-016</x:v>
      </x:c>
      <x:c r="B17" s="20" t="str">
        <x:v>model/variant</x:v>
      </x:c>
      <x:c r="C17" s="20" t="str">
        <x:v>publish_blocked</x:v>
      </x:c>
      <x:c r="D17" s="20" t="str">
        <x:v>qa_gate</x:v>
      </x:c>
      <x:c r="E17" s="20" t="str">
        <x:v>critical_QA_count=0</x:v>
      </x:c>
      <x:c r="F17" s="20" t="str">
        <x:v>Строки с критическими QA нельзя публиковать</x:v>
      </x:c>
      <x:c r="G17" s="20" t="str">
        <x:v>critical</x:v>
      </x:c>
      <x:c r="H17" s="31" t="b">
        <x:v>0</x:v>
      </x:c>
      <x:c r="I17" s="31" t="b">
        <x:v>1</x:v>
      </x:c>
      <x:c r="J17" s="31" t="b">
        <x:v>0</x:v>
      </x:c>
      <x:c r="K17" s="20" t="str"/>
      <x:c r="L17" s="19" t="str"/>
    </x:row>
  </x:sheetData>
  <x:conditionalFormatting sqref="I2:I17">
    <x:cfRule type="cellIs" dxfId="21" priority="1" operator="equal">
      <x:formula>1</x:formula>
    </x:cfRule>
  </x:conditionalFormatting>
  <x:dataValidations count="1">
    <x:dataValidation type="list" sqref="I2:I17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cb84cd8779a44de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7" hidden="0" customWidth="1"/>
    <x:col min="3" max="3" width="11" hidden="0" customWidth="1"/>
    <x:col min="4" max="4" width="11" hidden="0" customWidth="1"/>
    <x:col min="5" max="5" width="13" hidden="0" customWidth="1"/>
    <x:col min="6" max="6" width="10" hidden="0" customWidth="1"/>
    <x:col min="7" max="7" width="10" hidden="0" customWidth="1"/>
    <x:col min="8" max="8" width="13" hidden="0" customWidth="1"/>
    <x:col min="9" max="9" width="17" hidden="0" customWidth="1"/>
    <x:col min="10" max="10" width="23" hidden="0" customWidth="1"/>
    <x:col min="11" max="11" width="10" hidden="0" customWidth="1"/>
    <x:col min="12" max="12" width="14" hidden="0" customWidth="1"/>
    <x:col min="13" max="13" width="10" hidden="0" customWidth="1"/>
    <x:col min="14" max="14" width="15" hidden="0" customWidth="1"/>
    <x:col min="15" max="15" width="16" hidden="0" customWidth="1"/>
    <x:col min="16" max="16" width="15" hidden="0" customWidth="1"/>
    <x:col min="17" max="17" width="16" hidden="0" customWidth="1"/>
    <x:col min="18" max="18" width="14" hidden="0" customWidth="1"/>
    <x:col min="19" max="19" width="12" hidden="0" customWidth="1"/>
    <x:col min="20" max="20" width="13" hidden="0" customWidth="1"/>
    <x:col min="21" max="21" width="24" hidden="0" customWidth="1"/>
    <x:col min="22" max="22" width="14" hidden="0" customWidth="1"/>
    <x:col min="23" max="23" width="20" hidden="0" customWidth="1"/>
    <x:col min="24" max="24" width="18" hidden="0" customWidth="1"/>
    <x:col min="25" max="25" width="24" hidden="0" customWidth="1"/>
    <x:col min="26" max="26" width="25" hidden="0" customWidth="1"/>
    <x:col min="27" max="27" width="23" hidden="0" customWidth="1"/>
    <x:col min="28" max="28" width="25" hidden="0" customWidth="1"/>
    <x:col min="29" max="29" width="23" hidden="0" customWidth="1"/>
    <x:col min="30" max="30" width="25" hidden="0" customWidth="1"/>
    <x:col min="31" max="31" width="23" hidden="0" customWidth="1"/>
    <x:col min="32" max="32" width="28" hidden="0" customWidth="1"/>
    <x:col min="33" max="33" width="20" hidden="0" customWidth="1"/>
    <x:col min="34" max="34" width="18" hidden="0" customWidth="1"/>
    <x:col min="35" max="35" width="24" hidden="0" customWidth="1"/>
    <x:col min="36" max="36" width="24" hidden="0" customWidth="1"/>
    <x:col min="37" max="37" width="22" hidden="0" customWidth="1"/>
    <x:col min="38" max="38" width="24" hidden="0" customWidth="1"/>
    <x:col min="39" max="39" width="22" hidden="0" customWidth="1"/>
    <x:col min="40" max="40" width="28" hidden="0" customWidth="1"/>
    <x:col min="41" max="41" width="16" hidden="0" customWidth="1"/>
    <x:col min="42" max="42" width="14" hidden="0" customWidth="1"/>
    <x:col min="43" max="43" width="19" hidden="0" customWidth="1"/>
    <x:col min="44" max="44" width="20" hidden="0" customWidth="1"/>
    <x:col min="45" max="45" width="11" hidden="0" customWidth="1"/>
    <x:col min="46" max="46" width="22" hidden="0" customWidth="1"/>
    <x:col min="47" max="47" width="16" hidden="0" customWidth="1"/>
    <x:col min="48" max="48" width="24" hidden="0" customWidth="1"/>
    <x:col min="49" max="49" width="18" hidden="0" customWidth="1"/>
    <x:col min="50" max="50" width="24" hidden="0" customWidth="1"/>
    <x:col min="51" max="51" width="27" hidden="0" customWidth="1"/>
    <x:col min="52" max="52" width="15" hidden="0" customWidth="1"/>
    <x:col min="53" max="53" width="21" hidden="0" customWidth="1"/>
    <x:col min="54" max="54" width="25" hidden="0" customWidth="1"/>
    <x:col min="55" max="55" width="25" hidden="0" customWidth="1"/>
    <x:col min="56" max="56" width="22" hidden="0" customWidth="1"/>
    <x:col min="57" max="57" width="28" hidden="0" customWidth="1"/>
    <x:col min="58" max="58" width="20" hidden="0" customWidth="1"/>
    <x:col min="59" max="59" width="17" hidden="0" customWidth="1"/>
    <x:col min="60" max="60" width="28" hidden="0" customWidth="1"/>
    <x:col min="61" max="61" width="12" hidden="0" customWidth="1"/>
    <x:col min="62" max="62" width="16" hidden="0" customWidth="1"/>
    <x:col min="63" max="63" width="18" hidden="0" customWidth="1"/>
    <x:col min="64" max="64" width="28" hidden="0" customWidth="1"/>
    <x:col min="65" max="65" width="14" hidden="0" customWidth="1"/>
    <x:col min="66" max="66" width="28" hidden="0" customWidth="1"/>
    <x:col min="67" max="67" width="28" hidden="0" customWidth="1"/>
  </x:cols>
  <x:sheetData>
    <x:row r="1" ht="34" customHeight="1">
      <x:c r="A1" s="17" t="str">
        <x:v>variant_id</x:v>
      </x:c>
      <x:c r="B1" s="17" t="str">
        <x:v>model_id</x:v>
      </x:c>
      <x:c r="C1" s="17" t="str">
        <x:v>public_brand</x:v>
      </x:c>
      <x:c r="D1" s="17" t="str">
        <x:v>source_brand</x:v>
      </x:c>
      <x:c r="E1" s="17" t="str">
        <x:v>catalog_family</x:v>
      </x:c>
      <x:c r="F1" s="17" t="str">
        <x:v>model_code</x:v>
      </x:c>
      <x:c r="G1" s="17" t="str">
        <x:v>model_slug</x:v>
      </x:c>
      <x:c r="H1" s="17" t="str">
        <x:v>public_name_ru</x:v>
      </x:c>
      <x:c r="I1" s="17" t="str">
        <x:v>publication_status</x:v>
      </x:c>
      <x:c r="J1" s="17" t="str">
        <x:v>model_verification_status</x:v>
      </x:c>
      <x:c r="K1" s="17" t="str">
        <x:v>size_raw</x:v>
      </x:c>
      <x:c r="L1" s="17" t="str">
        <x:v>size_normalized</x:v>
      </x:c>
      <x:c r="M1" s="17" t="str">
        <x:v>size_format</x:v>
      </x:c>
      <x:c r="N1" s="17" t="str">
        <x:v>nominal_width_mm</x:v>
      </x:c>
      <x:c r="O1" s="17" t="str">
        <x:v>imperial_width_in</x:v>
      </x:c>
      <x:c r="P1" s="17" t="str">
        <x:v>aspect_ratio_pct</x:v>
      </x:c>
      <x:c r="Q1" s="17" t="str">
        <x:v>construction_code</x:v>
      </x:c>
      <x:c r="R1" s="17" t="str">
        <x:v>rim_diameter_in</x:v>
      </x:c>
      <x:c r="S1" s="17" t="str">
        <x:v>ply_rating_pr</x:v>
      </x:c>
      <x:c r="T1" s="17" t="str">
        <x:v>tread_depth_mm</x:v>
      </x:c>
      <x:c r="U1" s="17" t="str">
        <x:v>tread_depth_32nd_in_source</x:v>
      </x:c>
      <x:c r="V1" s="17" t="str">
        <x:v>standard_rim_in</x:v>
      </x:c>
      <x:c r="W1" s="17" t="str">
        <x:v>pressure_single_source</x:v>
      </x:c>
      <x:c r="X1" s="17" t="str">
        <x:v>pressure_dual_source</x:v>
      </x:c>
      <x:c r="Y1" s="17" t="str">
        <x:v>pressure_source_unit_label</x:v>
      </x:c>
      <x:c r="Z1" s="17" t="str">
        <x:v>pressure_single_kpa</x:v>
      </x:c>
      <x:c r="AA1" s="17" t="str">
        <x:v>pressure_dual_kpa</x:v>
      </x:c>
      <x:c r="AB1" s="17" t="str">
        <x:v>pressure_single_bar</x:v>
      </x:c>
      <x:c r="AC1" s="17" t="str">
        <x:v>pressure_dual_bar</x:v>
      </x:c>
      <x:c r="AD1" s="17" t="str">
        <x:v>pressure_single_psi</x:v>
      </x:c>
      <x:c r="AE1" s="17" t="str">
        <x:v>pressure_dual_psi</x:v>
      </x:c>
      <x:c r="AF1" s="17" t="str">
        <x:v>pressure_unit_verification_status</x:v>
      </x:c>
      <x:c r="AG1" s="17" t="str">
        <x:v>max_load_single_source</x:v>
      </x:c>
      <x:c r="AH1" s="17" t="str">
        <x:v>max_load_dual_source</x:v>
      </x:c>
      <x:c r="AI1" s="17" t="str">
        <x:v>max_load_source_unit_label</x:v>
      </x:c>
      <x:c r="AJ1" s="17" t="str">
        <x:v>max_load_single_kg</x:v>
      </x:c>
      <x:c r="AK1" s="17" t="str">
        <x:v>max_load_dual_kg</x:v>
      </x:c>
      <x:c r="AL1" s="17" t="str">
        <x:v>max_load_single_lb</x:v>
      </x:c>
      <x:c r="AM1" s="17" t="str">
        <x:v>max_load_dual_lb</x:v>
      </x:c>
      <x:c r="AN1" s="17" t="str">
        <x:v>max_load_unit_verification_status</x:v>
      </x:c>
      <x:c r="AO1" s="17" t="str">
        <x:v>load_index_single</x:v>
      </x:c>
      <x:c r="AP1" s="17" t="str">
        <x:v>load_index_dual</x:v>
      </x:c>
      <x:c r="AQ1" s="17" t="str">
        <x:v>load_index_source_raw</x:v>
      </x:c>
      <x:c r="AR1" s="17" t="str">
        <x:v>alternative_load_index</x:v>
      </x:c>
      <x:c r="AS1" s="17" t="str">
        <x:v>speed_symbol</x:v>
      </x:c>
      <x:c r="AT1" s="17" t="str">
        <x:v>alternative_speed_symbol</x:v>
      </x:c>
      <x:c r="AU1" s="17" t="str">
        <x:v>rating_source_raw</x:v>
      </x:c>
      <x:c r="AV1" s="17" t="str">
        <x:v>rating_verification_status</x:v>
      </x:c>
      <x:c r="AW1" s="17" t="str">
        <x:v>overall_diameter_mm</x:v>
      </x:c>
      <x:c r="AX1" s="17" t="str">
        <x:v>overall_diameter_in_source</x:v>
      </x:c>
      <x:c r="AY1" s="17" t="str">
        <x:v>overall_diameter_in_calculated</x:v>
      </x:c>
      <x:c r="AZ1" s="17" t="str">
        <x:v>section_width_mm</x:v>
      </x:c>
      <x:c r="BA1" s="17" t="str">
        <x:v>section_width_in_source</x:v>
      </x:c>
      <x:c r="BB1" s="17" t="str">
        <x:v>section_width_in_calculated</x:v>
      </x:c>
      <x:c r="BC1" s="17" t="str">
        <x:v>axle_keys_json</x:v>
      </x:c>
      <x:c r="BD1" s="17" t="str">
        <x:v>application_keys_json</x:v>
      </x:c>
      <x:c r="BE1" s="17" t="str">
        <x:v>feature_keys_json</x:v>
      </x:c>
      <x:c r="BF1" s="17" t="str">
        <x:v>tire_type_relation_key</x:v>
      </x:c>
      <x:c r="BG1" s="17" t="str">
        <x:v>model_relation_key</x:v>
      </x:c>
      <x:c r="BH1" s="17" t="str">
        <x:v>source_document</x:v>
      </x:c>
      <x:c r="BI1" s="17" t="str">
        <x:v>source_page</x:v>
      </x:c>
      <x:c r="BJ1" s="17" t="str">
        <x:v>source_row_number</x:v>
      </x:c>
      <x:c r="BK1" s="17" t="str">
        <x:v>verification_status</x:v>
      </x:c>
      <x:c r="BL1" s="17" t="str">
        <x:v>validation_warnings_json</x:v>
      </x:c>
      <x:c r="BM1" s="17" t="str">
        <x:v>publish_blocked</x:v>
      </x:c>
      <x:c r="BN1" s="17" t="str">
        <x:v>short_description_ru</x:v>
      </x:c>
      <x:c r="BO1" s="17" t="str">
        <x:v>full_description_ru</x:v>
      </x:c>
    </x:row>
    <x:row r="2">
      <x:c r="A2" s="18" t="str">
        <x:v>BIZON-VAR-DLA968-38565R225-24PR</x:v>
      </x:c>
      <x:c r="B2" s="18" t="str">
        <x:v>BIZON-MODEL-DLA968</x:v>
      </x:c>
      <x:c r="C2" s="18" t="str">
        <x:v>BIZON</x:v>
      </x:c>
      <x:c r="D2" s="19" t="str">
        <x:v>DOUBLESTAR</x:v>
      </x:c>
      <x:c r="E2" s="18" t="str">
        <x:v>TBR</x:v>
      </x:c>
      <x:c r="F2" s="18" t="str">
        <x:v>DLA968</x:v>
      </x:c>
      <x:c r="G2" s="18" t="str">
        <x:v>dla968</x:v>
      </x:c>
      <x:c r="H2" s="18" t="str">
        <x:v>BIZON DLA968</x:v>
      </x:c>
      <x:c r="I2" s="18" t="str">
        <x:v>draft</x:v>
      </x:c>
      <x:c r="J2" s="19" t="str">
        <x:v>verified</x:v>
      </x:c>
      <x:c r="K2" s="19" t="str">
        <x:v>385/65R22.5</x:v>
      </x:c>
      <x:c r="L2" s="18" t="str">
        <x:v>385/65R22.5</x:v>
      </x:c>
      <x:c r="M2" s="18" t="str">
        <x:v>metric</x:v>
      </x:c>
      <x:c r="N2" s="39" t="n">
        <x:v>385</x:v>
      </x:c>
      <x:c r="O2" s="39"/>
      <x:c r="P2" s="40" t="n">
        <x:v>65</x:v>
      </x:c>
      <x:c r="Q2" s="18" t="str">
        <x:v>R</x:v>
      </x:c>
      <x:c r="R2" s="39" t="n">
        <x:v>22.5</x:v>
      </x:c>
      <x:c r="S2" s="18" t="n">
        <x:v>24</x:v>
      </x:c>
      <x:c r="T2" s="39" t="n">
        <x:v>15.5</x:v>
      </x:c>
      <x:c r="U2" s="41" t="n">
        <x:v>20</x:v>
      </x:c>
      <x:c r="V2" s="39" t="n">
        <x:v>11.75</x:v>
      </x:c>
      <x:c r="W2" s="19" t="n">
        <x:v>900</x:v>
      </x:c>
      <x:c r="X2" s="19"/>
      <x:c r="Y2" s="19" t="str">
        <x:v>PSI</x:v>
      </x:c>
      <x:c r="Z2" s="42" t="n">
        <x:v>900</x:v>
      </x:c>
      <x:c r="AA2" s="42"/>
      <x:c r="AB2" s="42" t="n">
        <x:v>9</x:v>
      </x:c>
      <x:c r="AC2" s="42"/>
      <x:c r="AD2" s="42" t="n">
        <x:v>130.5</x:v>
      </x:c>
      <x:c r="AE2" s="42"/>
      <x:c r="AF2" s="19" t="str">
        <x:v>verified</x:v>
      </x:c>
      <x:c r="AG2" s="19" t="n">
        <x:v>5000</x:v>
      </x:c>
      <x:c r="AH2" s="19"/>
      <x:c r="AI2" s="19" t="str">
        <x:v>LBS</x:v>
      </x:c>
      <x:c r="AJ2" s="42" t="n">
        <x:v>5000</x:v>
      </x:c>
      <x:c r="AK2" s="42"/>
      <x:c r="AL2" s="42" t="n">
        <x:v>11023</x:v>
      </x:c>
      <x:c r="AM2" s="42"/>
      <x:c r="AN2" s="19" t="str">
        <x:v>verified</x:v>
      </x:c>
      <x:c r="AO2" s="18" t="n">
        <x:v>164</x:v>
      </x:c>
      <x:c r="AP2" s="18"/>
      <x:c r="AQ2" s="19" t="str">
        <x:v>164</x:v>
      </x:c>
      <x:c r="AR2" s="18"/>
      <x:c r="AS2" s="18" t="str">
        <x:v>K</x:v>
      </x:c>
      <x:c r="AT2" s="18"/>
      <x:c r="AU2" s="19" t="str">
        <x:v>164 K</x:v>
      </x:c>
      <x:c r="AV2" s="19" t="str">
        <x:v>verified</x:v>
      </x:c>
      <x:c r="AW2" s="39" t="n">
        <x:v>1072</x:v>
      </x:c>
      <x:c r="AX2" s="19" t="n">
        <x:v>42</x:v>
      </x:c>
      <x:c r="AY2" s="42" t="n">
        <x:v>42.2</x:v>
      </x:c>
      <x:c r="AZ2" s="39" t="n">
        <x:v>389</x:v>
      </x:c>
      <x:c r="BA2" s="19" t="n">
        <x:v>15</x:v>
      </x:c>
      <x:c r="BB2" s="42" t="n">
        <x:v>15.31</x:v>
      </x:c>
      <x:c r="BC2" s="18" t="str">
        <x:v>["steer","trailer"]</x:v>
      </x:c>
      <x:c r="BD2" s="18" t="str">
        <x:v>["long-haul","regional"]</x:v>
      </x:c>
      <x:c r="BE2" s="18" t="str">
        <x:v>["handling","safety","high-mileage"]</x:v>
      </x:c>
      <x:c r="BF2" s="18" t="str">
        <x:v>tbr</x:v>
      </x:c>
      <x:c r="BG2" s="18" t="str">
        <x:v>BIZON-MODEL-DLA968</x:v>
      </x:c>
      <x:c r="BH2" s="19" t="str">
        <x:v>DOUBLESTAR COMBODIA TBR CATALOGUE.pdf</x:v>
      </x:c>
      <x:c r="BI2" s="19" t="n">
        <x:v>4</x:v>
      </x:c>
      <x:c r="BJ2" s="19" t="n">
        <x:v>1</x:v>
      </x:c>
      <x:c r="BK2" s="19" t="str">
        <x:v>verified</x:v>
      </x:c>
      <x:c r="BL2" s="18" t="str">
        <x:v>[]</x:v>
      </x:c>
      <x:c r="BM2" s="28" t="b">
        <x:v>0</x:v>
      </x:c>
      <x:c r="BN2" s="18" t="str">
        <x:v>Грузовая шина BIZON DLA968 для магистральной и региональной эксплуатации.</x:v>
      </x:c>
      <x:c r="BO2" s="18" t="str">
        <x:v>Модель BIZON DLA968. Позиция установки по каталогу: Steer and trailer. Основные заявленные свойства: Управляемость; Безопасность; Высокий пробег.</x:v>
      </x:c>
    </x:row>
    <x:row r="3">
      <x:c r="A3" s="20" t="str">
        <x:v>BIZON-VAR-DLA968-38555R225-20PR</x:v>
      </x:c>
      <x:c r="B3" s="20" t="str">
        <x:v>BIZON-MODEL-DLA968</x:v>
      </x:c>
      <x:c r="C3" s="20" t="str">
        <x:v>BIZON</x:v>
      </x:c>
      <x:c r="D3" s="19" t="str">
        <x:v>DOUBLESTAR</x:v>
      </x:c>
      <x:c r="E3" s="20" t="str">
        <x:v>TBR</x:v>
      </x:c>
      <x:c r="F3" s="20" t="str">
        <x:v>DLA968</x:v>
      </x:c>
      <x:c r="G3" s="20" t="str">
        <x:v>dla968</x:v>
      </x:c>
      <x:c r="H3" s="20" t="str">
        <x:v>BIZON DLA968</x:v>
      </x:c>
      <x:c r="I3" s="20" t="str">
        <x:v>draft</x:v>
      </x:c>
      <x:c r="J3" s="19" t="str">
        <x:v>verified</x:v>
      </x:c>
      <x:c r="K3" s="19" t="str">
        <x:v>385/55R22.5</x:v>
      </x:c>
      <x:c r="L3" s="20" t="str">
        <x:v>385/55R22.5</x:v>
      </x:c>
      <x:c r="M3" s="20" t="str">
        <x:v>metric</x:v>
      </x:c>
      <x:c r="N3" s="44" t="n">
        <x:v>385</x:v>
      </x:c>
      <x:c r="O3" s="44"/>
      <x:c r="P3" s="45" t="n">
        <x:v>55</x:v>
      </x:c>
      <x:c r="Q3" s="20" t="str">
        <x:v>R</x:v>
      </x:c>
      <x:c r="R3" s="44" t="n">
        <x:v>22.5</x:v>
      </x:c>
      <x:c r="S3" s="20" t="n">
        <x:v>20</x:v>
      </x:c>
      <x:c r="T3" s="44" t="n">
        <x:v>15</x:v>
      </x:c>
      <x:c r="U3" s="41" t="n">
        <x:v>19</x:v>
      </x:c>
      <x:c r="V3" s="44" t="n">
        <x:v>12.25</x:v>
      </x:c>
      <x:c r="W3" s="19" t="n">
        <x:v>900</x:v>
      </x:c>
      <x:c r="X3" s="19"/>
      <x:c r="Y3" s="19" t="str">
        <x:v>PSI</x:v>
      </x:c>
      <x:c r="Z3" s="42" t="n">
        <x:v>900</x:v>
      </x:c>
      <x:c r="AA3" s="42"/>
      <x:c r="AB3" s="42" t="n">
        <x:v>9</x:v>
      </x:c>
      <x:c r="AC3" s="42"/>
      <x:c r="AD3" s="42" t="n">
        <x:v>130.5</x:v>
      </x:c>
      <x:c r="AE3" s="42"/>
      <x:c r="AF3" s="19" t="str">
        <x:v>verified</x:v>
      </x:c>
      <x:c r="AG3" s="19" t="n">
        <x:v>4500</x:v>
      </x:c>
      <x:c r="AH3" s="19"/>
      <x:c r="AI3" s="19" t="str">
        <x:v>LBS</x:v>
      </x:c>
      <x:c r="AJ3" s="42" t="n">
        <x:v>4500</x:v>
      </x:c>
      <x:c r="AK3" s="42"/>
      <x:c r="AL3" s="42" t="n">
        <x:v>9921</x:v>
      </x:c>
      <x:c r="AM3" s="42"/>
      <x:c r="AN3" s="19" t="str">
        <x:v>verified</x:v>
      </x:c>
      <x:c r="AO3" s="20" t="n">
        <x:v>160</x:v>
      </x:c>
      <x:c r="AP3" s="20"/>
      <x:c r="AQ3" s="19" t="str">
        <x:v>160(158)</x:v>
      </x:c>
      <x:c r="AR3" s="20" t="n">
        <x:v>158</x:v>
      </x:c>
      <x:c r="AS3" s="20" t="str">
        <x:v>K</x:v>
      </x:c>
      <x:c r="AT3" s="20" t="str">
        <x:v>L</x:v>
      </x:c>
      <x:c r="AU3" s="19" t="str">
        <x:v>160(158) K(L)</x:v>
      </x:c>
      <x:c r="AV3" s="19" t="str">
        <x:v>needs_review</x:v>
      </x:c>
      <x:c r="AW3" s="44" t="n">
        <x:v>996</x:v>
      </x:c>
      <x:c r="AX3" s="19" t="n">
        <x:v>39</x:v>
      </x:c>
      <x:c r="AY3" s="42" t="n">
        <x:v>39.21</x:v>
      </x:c>
      <x:c r="AZ3" s="44" t="n">
        <x:v>386</x:v>
      </x:c>
      <x:c r="BA3" s="19" t="n">
        <x:v>15</x:v>
      </x:c>
      <x:c r="BB3" s="42" t="n">
        <x:v>15.2</x:v>
      </x:c>
      <x:c r="BC3" s="20" t="str">
        <x:v>["steer","trailer"]</x:v>
      </x:c>
      <x:c r="BD3" s="20" t="str">
        <x:v>["long-haul","regional"]</x:v>
      </x:c>
      <x:c r="BE3" s="20" t="str">
        <x:v>["handling","safety","high-mileage"]</x:v>
      </x:c>
      <x:c r="BF3" s="20" t="str">
        <x:v>tbr</x:v>
      </x:c>
      <x:c r="BG3" s="20" t="str">
        <x:v>BIZON-MODEL-DLA968</x:v>
      </x:c>
      <x:c r="BH3" s="19" t="str">
        <x:v>DOUBLESTAR COMBODIA TBR CATALOGUE.pdf</x:v>
      </x:c>
      <x:c r="BI3" s="19" t="n">
        <x:v>4</x:v>
      </x:c>
      <x:c r="BJ3" s="19" t="n">
        <x:v>2</x:v>
      </x:c>
      <x:c r="BK3" s="19" t="str">
        <x:v>needs_review</x:v>
      </x:c>
      <x:c r="BL3" s="20" t="str">
        <x:v>["alternative_rating_notation"]</x:v>
      </x:c>
      <x:c r="BM3" s="31" t="b">
        <x:v>1</x:v>
      </x:c>
      <x:c r="BN3" s="20" t="str">
        <x:v>Грузовая шина BIZON DLA968 для магистральной и региональной эксплуатации.</x:v>
      </x:c>
      <x:c r="BO3" s="20" t="str">
        <x:v>Модель BIZON DLA968. Позиция установки по каталогу: Steer and trailer. Основные заявленные свойства: Управляемость; Безопасность; Высокий пробег.</x:v>
      </x:c>
    </x:row>
    <x:row r="4">
      <x:c r="A4" s="18" t="str">
        <x:v>BIZON-VAR-DLA968-31580R225-20PR</x:v>
      </x:c>
      <x:c r="B4" s="18" t="str">
        <x:v>BIZON-MODEL-DLA968</x:v>
      </x:c>
      <x:c r="C4" s="18" t="str">
        <x:v>BIZON</x:v>
      </x:c>
      <x:c r="D4" s="19" t="str">
        <x:v>DOUBLESTAR</x:v>
      </x:c>
      <x:c r="E4" s="18" t="str">
        <x:v>TBR</x:v>
      </x:c>
      <x:c r="F4" s="18" t="str">
        <x:v>DLA968</x:v>
      </x:c>
      <x:c r="G4" s="18" t="str">
        <x:v>dla968</x:v>
      </x:c>
      <x:c r="H4" s="18" t="str">
        <x:v>BIZON DLA968</x:v>
      </x:c>
      <x:c r="I4" s="18" t="str">
        <x:v>draft</x:v>
      </x:c>
      <x:c r="J4" s="19" t="str">
        <x:v>verified</x:v>
      </x:c>
      <x:c r="K4" s="19" t="str">
        <x:v>315/80R22.5</x:v>
      </x:c>
      <x:c r="L4" s="18" t="str">
        <x:v>315/80R22.5</x:v>
      </x:c>
      <x:c r="M4" s="18" t="str">
        <x:v>metric</x:v>
      </x:c>
      <x:c r="N4" s="39" t="n">
        <x:v>315</x:v>
      </x:c>
      <x:c r="O4" s="39"/>
      <x:c r="P4" s="40" t="n">
        <x:v>80</x:v>
      </x:c>
      <x:c r="Q4" s="18" t="str">
        <x:v>R</x:v>
      </x:c>
      <x:c r="R4" s="39" t="n">
        <x:v>22.5</x:v>
      </x:c>
      <x:c r="S4" s="18" t="n">
        <x:v>20</x:v>
      </x:c>
      <x:c r="T4" s="39" t="n">
        <x:v>16</x:v>
      </x:c>
      <x:c r="U4" s="41" t="n">
        <x:v>20</x:v>
      </x:c>
      <x:c r="V4" s="39" t="n">
        <x:v>9</x:v>
      </x:c>
      <x:c r="W4" s="19" t="n">
        <x:v>850</x:v>
      </x:c>
      <x:c r="X4" s="19" t="n">
        <x:v>850</x:v>
      </x:c>
      <x:c r="Y4" s="19" t="str">
        <x:v>PSI</x:v>
      </x:c>
      <x:c r="Z4" s="42" t="n">
        <x:v>850</x:v>
      </x:c>
      <x:c r="AA4" s="42" t="n">
        <x:v>850</x:v>
      </x:c>
      <x:c r="AB4" s="42" t="n">
        <x:v>8.5</x:v>
      </x:c>
      <x:c r="AC4" s="42" t="n">
        <x:v>8.5</x:v>
      </x:c>
      <x:c r="AD4" s="42" t="n">
        <x:v>123.3</x:v>
      </x:c>
      <x:c r="AE4" s="42" t="n">
        <x:v>123.3</x:v>
      </x:c>
      <x:c r="AF4" s="19" t="str">
        <x:v>verified</x:v>
      </x:c>
      <x:c r="AG4" s="19" t="n">
        <x:v>4000</x:v>
      </x:c>
      <x:c r="AH4" s="19" t="n">
        <x:v>3350</x:v>
      </x:c>
      <x:c r="AI4" s="19" t="str">
        <x:v>LBS</x:v>
      </x:c>
      <x:c r="AJ4" s="42" t="n">
        <x:v>4000</x:v>
      </x:c>
      <x:c r="AK4" s="42" t="n">
        <x:v>3350</x:v>
      </x:c>
      <x:c r="AL4" s="42" t="n">
        <x:v>8818</x:v>
      </x:c>
      <x:c r="AM4" s="42" t="n">
        <x:v>7385</x:v>
      </x:c>
      <x:c r="AN4" s="19" t="str">
        <x:v>verified</x:v>
      </x:c>
      <x:c r="AO4" s="18" t="n">
        <x:v>156</x:v>
      </x:c>
      <x:c r="AP4" s="18" t="n">
        <x:v>150</x:v>
      </x:c>
      <x:c r="AQ4" s="19" t="str">
        <x:v>156 / 150</x:v>
      </x:c>
      <x:c r="AR4" s="18"/>
      <x:c r="AS4" s="18" t="str">
        <x:v>L</x:v>
      </x:c>
      <x:c r="AT4" s="18"/>
      <x:c r="AU4" s="19" t="str">
        <x:v>156/150 L</x:v>
      </x:c>
      <x:c r="AV4" s="19" t="str">
        <x:v>verified</x:v>
      </x:c>
      <x:c r="AW4" s="39" t="n">
        <x:v>1076</x:v>
      </x:c>
      <x:c r="AX4" s="19" t="n">
        <x:v>42</x:v>
      </x:c>
      <x:c r="AY4" s="42" t="n">
        <x:v>42.36</x:v>
      </x:c>
      <x:c r="AZ4" s="39" t="n">
        <x:v>312</x:v>
      </x:c>
      <x:c r="BA4" s="19" t="n">
        <x:v>12</x:v>
      </x:c>
      <x:c r="BB4" s="42" t="n">
        <x:v>12.28</x:v>
      </x:c>
      <x:c r="BC4" s="18" t="str">
        <x:v>["steer","trailer"]</x:v>
      </x:c>
      <x:c r="BD4" s="18" t="str">
        <x:v>["long-haul","regional"]</x:v>
      </x:c>
      <x:c r="BE4" s="18" t="str">
        <x:v>["handling","safety","high-mileage"]</x:v>
      </x:c>
      <x:c r="BF4" s="18" t="str">
        <x:v>tbr</x:v>
      </x:c>
      <x:c r="BG4" s="18" t="str">
        <x:v>BIZON-MODEL-DLA968</x:v>
      </x:c>
      <x:c r="BH4" s="19" t="str">
        <x:v>DOUBLESTAR COMBODIA TBR CATALOGUE.pdf</x:v>
      </x:c>
      <x:c r="BI4" s="19" t="n">
        <x:v>4</x:v>
      </x:c>
      <x:c r="BJ4" s="19" t="n">
        <x:v>3</x:v>
      </x:c>
      <x:c r="BK4" s="19" t="str">
        <x:v>verified</x:v>
      </x:c>
      <x:c r="BL4" s="18" t="str">
        <x:v>[]</x:v>
      </x:c>
      <x:c r="BM4" s="28" t="b">
        <x:v>0</x:v>
      </x:c>
      <x:c r="BN4" s="18" t="str">
        <x:v>Грузовая шина BIZON DLA968 для магистральной и региональной эксплуатации.</x:v>
      </x:c>
      <x:c r="BO4" s="18" t="str">
        <x:v>Модель BIZON DLA968. Позиция установки по каталогу: Steer and trailer. Основные заявленные свойства: Управляемость; Безопасность; Высокий пробег.</x:v>
      </x:c>
    </x:row>
    <x:row r="5">
      <x:c r="A5" s="20" t="str">
        <x:v>BIZON-VAR-DLA968-31570R225-18PR</x:v>
      </x:c>
      <x:c r="B5" s="20" t="str">
        <x:v>BIZON-MODEL-DLA968</x:v>
      </x:c>
      <x:c r="C5" s="20" t="str">
        <x:v>BIZON</x:v>
      </x:c>
      <x:c r="D5" s="19" t="str">
        <x:v>DOUBLESTAR</x:v>
      </x:c>
      <x:c r="E5" s="20" t="str">
        <x:v>TBR</x:v>
      </x:c>
      <x:c r="F5" s="20" t="str">
        <x:v>DLA968</x:v>
      </x:c>
      <x:c r="G5" s="20" t="str">
        <x:v>dla968</x:v>
      </x:c>
      <x:c r="H5" s="20" t="str">
        <x:v>BIZON DLA968</x:v>
      </x:c>
      <x:c r="I5" s="20" t="str">
        <x:v>draft</x:v>
      </x:c>
      <x:c r="J5" s="19" t="str">
        <x:v>verified</x:v>
      </x:c>
      <x:c r="K5" s="19" t="str">
        <x:v>315/70R22.5</x:v>
      </x:c>
      <x:c r="L5" s="20" t="str">
        <x:v>315/70R22.5</x:v>
      </x:c>
      <x:c r="M5" s="20" t="str">
        <x:v>metric</x:v>
      </x:c>
      <x:c r="N5" s="44" t="n">
        <x:v>315</x:v>
      </x:c>
      <x:c r="O5" s="44"/>
      <x:c r="P5" s="45" t="n">
        <x:v>70</x:v>
      </x:c>
      <x:c r="Q5" s="20" t="str">
        <x:v>R</x:v>
      </x:c>
      <x:c r="R5" s="44" t="n">
        <x:v>22.5</x:v>
      </x:c>
      <x:c r="S5" s="20" t="n">
        <x:v>18</x:v>
      </x:c>
      <x:c r="T5" s="44" t="n">
        <x:v>16</x:v>
      </x:c>
      <x:c r="U5" s="41" t="n">
        <x:v>20</x:v>
      </x:c>
      <x:c r="V5" s="44" t="n">
        <x:v>9</x:v>
      </x:c>
      <x:c r="W5" s="19" t="n">
        <x:v>900</x:v>
      </x:c>
      <x:c r="X5" s="19" t="n">
        <x:v>900</x:v>
      </x:c>
      <x:c r="Y5" s="19" t="str">
        <x:v>PSI</x:v>
      </x:c>
      <x:c r="Z5" s="42" t="n">
        <x:v>900</x:v>
      </x:c>
      <x:c r="AA5" s="42" t="n">
        <x:v>900</x:v>
      </x:c>
      <x:c r="AB5" s="42" t="n">
        <x:v>9</x:v>
      </x:c>
      <x:c r="AC5" s="42" t="n">
        <x:v>9</x:v>
      </x:c>
      <x:c r="AD5" s="42" t="n">
        <x:v>130.5</x:v>
      </x:c>
      <x:c r="AE5" s="42" t="n">
        <x:v>130.5</x:v>
      </x:c>
      <x:c r="AF5" s="19" t="str">
        <x:v>verified</x:v>
      </x:c>
      <x:c r="AG5" s="19" t="n">
        <x:v>4000</x:v>
      </x:c>
      <x:c r="AH5" s="19" t="n">
        <x:v>3350</x:v>
      </x:c>
      <x:c r="AI5" s="19" t="str">
        <x:v>LBS</x:v>
      </x:c>
      <x:c r="AJ5" s="42" t="n">
        <x:v>4000</x:v>
      </x:c>
      <x:c r="AK5" s="42" t="n">
        <x:v>3350</x:v>
      </x:c>
      <x:c r="AL5" s="42" t="n">
        <x:v>8818</x:v>
      </x:c>
      <x:c r="AM5" s="42" t="n">
        <x:v>7385</x:v>
      </x:c>
      <x:c r="AN5" s="19" t="str">
        <x:v>verified</x:v>
      </x:c>
      <x:c r="AO5" s="20" t="n">
        <x:v>156</x:v>
      </x:c>
      <x:c r="AP5" s="20" t="n">
        <x:v>150</x:v>
      </x:c>
      <x:c r="AQ5" s="19" t="str">
        <x:v>156 / 150</x:v>
      </x:c>
      <x:c r="AR5" s="20"/>
      <x:c r="AS5" s="20" t="str">
        <x:v>L</x:v>
      </x:c>
      <x:c r="AT5" s="20"/>
      <x:c r="AU5" s="19" t="str">
        <x:v>156/150 L</x:v>
      </x:c>
      <x:c r="AV5" s="19" t="str">
        <x:v>verified</x:v>
      </x:c>
      <x:c r="AW5" s="44" t="n">
        <x:v>1014</x:v>
      </x:c>
      <x:c r="AX5" s="19" t="n">
        <x:v>40</x:v>
      </x:c>
      <x:c r="AY5" s="42" t="n">
        <x:v>39.92</x:v>
      </x:c>
      <x:c r="AZ5" s="44" t="n">
        <x:v>312</x:v>
      </x:c>
      <x:c r="BA5" s="19" t="n">
        <x:v>12</x:v>
      </x:c>
      <x:c r="BB5" s="42" t="n">
        <x:v>12.28</x:v>
      </x:c>
      <x:c r="BC5" s="20" t="str">
        <x:v>["steer","trailer"]</x:v>
      </x:c>
      <x:c r="BD5" s="20" t="str">
        <x:v>["long-haul","regional"]</x:v>
      </x:c>
      <x:c r="BE5" s="20" t="str">
        <x:v>["handling","safety","high-mileage"]</x:v>
      </x:c>
      <x:c r="BF5" s="20" t="str">
        <x:v>tbr</x:v>
      </x:c>
      <x:c r="BG5" s="20" t="str">
        <x:v>BIZON-MODEL-DLA968</x:v>
      </x:c>
      <x:c r="BH5" s="19" t="str">
        <x:v>DOUBLESTAR COMBODIA TBR CATALOGUE.pdf</x:v>
      </x:c>
      <x:c r="BI5" s="19" t="n">
        <x:v>4</x:v>
      </x:c>
      <x:c r="BJ5" s="19" t="n">
        <x:v>4</x:v>
      </x:c>
      <x:c r="BK5" s="19" t="str">
        <x:v>verified</x:v>
      </x:c>
      <x:c r="BL5" s="20" t="str">
        <x:v>[]</x:v>
      </x:c>
      <x:c r="BM5" s="31" t="b">
        <x:v>0</x:v>
      </x:c>
      <x:c r="BN5" s="20" t="str">
        <x:v>Грузовая шина BIZON DLA968 для магистральной и региональной эксплуатации.</x:v>
      </x:c>
      <x:c r="BO5" s="20" t="str">
        <x:v>Модель BIZON DLA968. Позиция установки по каталогу: Steer and trailer. Основные заявленные свойства: Управляемость; Безопасность; Высокий пробег.</x:v>
      </x:c>
    </x:row>
    <x:row r="6">
      <x:c r="A6" s="18" t="str">
        <x:v>BIZON-VAR-DLA968-31560R225-16PR</x:v>
      </x:c>
      <x:c r="B6" s="18" t="str">
        <x:v>BIZON-MODEL-DLA968</x:v>
      </x:c>
      <x:c r="C6" s="18" t="str">
        <x:v>BIZON</x:v>
      </x:c>
      <x:c r="D6" s="19" t="str">
        <x:v>DOUBLESTAR</x:v>
      </x:c>
      <x:c r="E6" s="18" t="str">
        <x:v>TBR</x:v>
      </x:c>
      <x:c r="F6" s="18" t="str">
        <x:v>DLA968</x:v>
      </x:c>
      <x:c r="G6" s="18" t="str">
        <x:v>dla968</x:v>
      </x:c>
      <x:c r="H6" s="18" t="str">
        <x:v>BIZON DLA968</x:v>
      </x:c>
      <x:c r="I6" s="18" t="str">
        <x:v>draft</x:v>
      </x:c>
      <x:c r="J6" s="19" t="str">
        <x:v>verified</x:v>
      </x:c>
      <x:c r="K6" s="19" t="str">
        <x:v>315/60R22.5</x:v>
      </x:c>
      <x:c r="L6" s="18" t="str">
        <x:v>315/60R22.5</x:v>
      </x:c>
      <x:c r="M6" s="18" t="str">
        <x:v>metric</x:v>
      </x:c>
      <x:c r="N6" s="39" t="n">
        <x:v>315</x:v>
      </x:c>
      <x:c r="O6" s="39"/>
      <x:c r="P6" s="40" t="n">
        <x:v>60</x:v>
      </x:c>
      <x:c r="Q6" s="18" t="str">
        <x:v>R</x:v>
      </x:c>
      <x:c r="R6" s="39" t="n">
        <x:v>22.5</x:v>
      </x:c>
      <x:c r="S6" s="18" t="n">
        <x:v>16</x:v>
      </x:c>
      <x:c r="T6" s="39" t="n">
        <x:v>15</x:v>
      </x:c>
      <x:c r="U6" s="41" t="n">
        <x:v>19</x:v>
      </x:c>
      <x:c r="V6" s="39" t="n">
        <x:v>9.75</x:v>
      </x:c>
      <x:c r="W6" s="19" t="n">
        <x:v>900</x:v>
      </x:c>
      <x:c r="X6" s="19" t="n">
        <x:v>900</x:v>
      </x:c>
      <x:c r="Y6" s="19" t="str">
        <x:v>PSI</x:v>
      </x:c>
      <x:c r="Z6" s="42" t="n">
        <x:v>900</x:v>
      </x:c>
      <x:c r="AA6" s="42" t="n">
        <x:v>900</x:v>
      </x:c>
      <x:c r="AB6" s="42" t="n">
        <x:v>9</x:v>
      </x:c>
      <x:c r="AC6" s="42" t="n">
        <x:v>9</x:v>
      </x:c>
      <x:c r="AD6" s="42" t="n">
        <x:v>130.5</x:v>
      </x:c>
      <x:c r="AE6" s="42" t="n">
        <x:v>130.5</x:v>
      </x:c>
      <x:c r="AF6" s="19" t="str">
        <x:v>verified</x:v>
      </x:c>
      <x:c r="AG6" s="19" t="n">
        <x:v>3750</x:v>
      </x:c>
      <x:c r="AH6" s="19" t="n">
        <x:v>3150</x:v>
      </x:c>
      <x:c r="AI6" s="19" t="str">
        <x:v>LBS</x:v>
      </x:c>
      <x:c r="AJ6" s="42" t="n">
        <x:v>3750</x:v>
      </x:c>
      <x:c r="AK6" s="42" t="n">
        <x:v>3150</x:v>
      </x:c>
      <x:c r="AL6" s="42" t="n">
        <x:v>8267</x:v>
      </x:c>
      <x:c r="AM6" s="42" t="n">
        <x:v>6945</x:v>
      </x:c>
      <x:c r="AN6" s="19" t="str">
        <x:v>verified</x:v>
      </x:c>
      <x:c r="AO6" s="18" t="n">
        <x:v>154</x:v>
      </x:c>
      <x:c r="AP6" s="18" t="n">
        <x:v>148</x:v>
      </x:c>
      <x:c r="AQ6" s="19" t="str">
        <x:v>154 / 148</x:v>
      </x:c>
      <x:c r="AR6" s="18"/>
      <x:c r="AS6" s="18" t="str">
        <x:v>L</x:v>
      </x:c>
      <x:c r="AT6" s="18"/>
      <x:c r="AU6" s="19" t="str">
        <x:v>154/148 L</x:v>
      </x:c>
      <x:c r="AV6" s="19" t="str">
        <x:v>verified</x:v>
      </x:c>
      <x:c r="AW6" s="39" t="n">
        <x:v>950</x:v>
      </x:c>
      <x:c r="AX6" s="19" t="n">
        <x:v>37</x:v>
      </x:c>
      <x:c r="AY6" s="42" t="n">
        <x:v>37.4</x:v>
      </x:c>
      <x:c r="AZ6" s="39" t="n">
        <x:v>313</x:v>
      </x:c>
      <x:c r="BA6" s="19" t="n">
        <x:v>12</x:v>
      </x:c>
      <x:c r="BB6" s="42" t="n">
        <x:v>12.32</x:v>
      </x:c>
      <x:c r="BC6" s="18" t="str">
        <x:v>["steer","trailer"]</x:v>
      </x:c>
      <x:c r="BD6" s="18" t="str">
        <x:v>["long-haul","regional"]</x:v>
      </x:c>
      <x:c r="BE6" s="18" t="str">
        <x:v>["handling","safety","high-mileage"]</x:v>
      </x:c>
      <x:c r="BF6" s="18" t="str">
        <x:v>tbr</x:v>
      </x:c>
      <x:c r="BG6" s="18" t="str">
        <x:v>BIZON-MODEL-DLA968</x:v>
      </x:c>
      <x:c r="BH6" s="19" t="str">
        <x:v>DOUBLESTAR COMBODIA TBR CATALOGUE.pdf</x:v>
      </x:c>
      <x:c r="BI6" s="19" t="n">
        <x:v>4</x:v>
      </x:c>
      <x:c r="BJ6" s="19" t="n">
        <x:v>5</x:v>
      </x:c>
      <x:c r="BK6" s="19" t="str">
        <x:v>verified</x:v>
      </x:c>
      <x:c r="BL6" s="18" t="str">
        <x:v>[]</x:v>
      </x:c>
      <x:c r="BM6" s="28" t="b">
        <x:v>0</x:v>
      </x:c>
      <x:c r="BN6" s="18" t="str">
        <x:v>Грузовая шина BIZON DLA968 для магистральной и региональной эксплуатации.</x:v>
      </x:c>
      <x:c r="BO6" s="18" t="str">
        <x:v>Модель BIZON DLA968. Позиция установки по каталогу: Steer and trailer. Основные заявленные свойства: Управляемость; Безопасность; Высокий пробег.</x:v>
      </x:c>
    </x:row>
    <x:row r="7">
      <x:c r="A7" s="20" t="str">
        <x:v>BIZON-VAR-DLA968-28570R195-18PR</x:v>
      </x:c>
      <x:c r="B7" s="20" t="str">
        <x:v>BIZON-MODEL-DLA968</x:v>
      </x:c>
      <x:c r="C7" s="20" t="str">
        <x:v>BIZON</x:v>
      </x:c>
      <x:c r="D7" s="19" t="str">
        <x:v>DOUBLESTAR</x:v>
      </x:c>
      <x:c r="E7" s="20" t="str">
        <x:v>TBR</x:v>
      </x:c>
      <x:c r="F7" s="20" t="str">
        <x:v>DLA968</x:v>
      </x:c>
      <x:c r="G7" s="20" t="str">
        <x:v>dla968</x:v>
      </x:c>
      <x:c r="H7" s="20" t="str">
        <x:v>BIZON DLA968</x:v>
      </x:c>
      <x:c r="I7" s="20" t="str">
        <x:v>draft</x:v>
      </x:c>
      <x:c r="J7" s="19" t="str">
        <x:v>verified</x:v>
      </x:c>
      <x:c r="K7" s="19" t="str">
        <x:v>285/70R19.5</x:v>
      </x:c>
      <x:c r="L7" s="20" t="str">
        <x:v>285/70R19.5</x:v>
      </x:c>
      <x:c r="M7" s="20" t="str">
        <x:v>metric</x:v>
      </x:c>
      <x:c r="N7" s="44" t="n">
        <x:v>285</x:v>
      </x:c>
      <x:c r="O7" s="44"/>
      <x:c r="P7" s="45" t="n">
        <x:v>70</x:v>
      </x:c>
      <x:c r="Q7" s="20" t="str">
        <x:v>R</x:v>
      </x:c>
      <x:c r="R7" s="44" t="n">
        <x:v>19.5</x:v>
      </x:c>
      <x:c r="S7" s="20" t="n">
        <x:v>18</x:v>
      </x:c>
      <x:c r="T7" s="44" t="n">
        <x:v>14</x:v>
      </x:c>
      <x:c r="U7" s="41" t="n">
        <x:v>18</x:v>
      </x:c>
      <x:c r="V7" s="44" t="n">
        <x:v>8.25</x:v>
      </x:c>
      <x:c r="W7" s="19" t="n">
        <x:v>900</x:v>
      </x:c>
      <x:c r="X7" s="19" t="n">
        <x:v>900</x:v>
      </x:c>
      <x:c r="Y7" s="19" t="str">
        <x:v>PSI</x:v>
      </x:c>
      <x:c r="Z7" s="42" t="n">
        <x:v>900</x:v>
      </x:c>
      <x:c r="AA7" s="42" t="n">
        <x:v>900</x:v>
      </x:c>
      <x:c r="AB7" s="42" t="n">
        <x:v>9</x:v>
      </x:c>
      <x:c r="AC7" s="42" t="n">
        <x:v>9</x:v>
      </x:c>
      <x:c r="AD7" s="42" t="n">
        <x:v>130.5</x:v>
      </x:c>
      <x:c r="AE7" s="42" t="n">
        <x:v>130.5</x:v>
      </x:c>
      <x:c r="AF7" s="19" t="str">
        <x:v>verified</x:v>
      </x:c>
      <x:c r="AG7" s="19" t="n">
        <x:v>3350</x:v>
      </x:c>
      <x:c r="AH7" s="19" t="n">
        <x:v>3150</x:v>
      </x:c>
      <x:c r="AI7" s="19" t="str">
        <x:v>LBS</x:v>
      </x:c>
      <x:c r="AJ7" s="42" t="n">
        <x:v>3350</x:v>
      </x:c>
      <x:c r="AK7" s="42" t="n">
        <x:v>3150</x:v>
      </x:c>
      <x:c r="AL7" s="42" t="n">
        <x:v>7385</x:v>
      </x:c>
      <x:c r="AM7" s="42" t="n">
        <x:v>6945</x:v>
      </x:c>
      <x:c r="AN7" s="19" t="str">
        <x:v>verified</x:v>
      </x:c>
      <x:c r="AO7" s="20" t="n">
        <x:v>150</x:v>
      </x:c>
      <x:c r="AP7" s="20" t="n">
        <x:v>148</x:v>
      </x:c>
      <x:c r="AQ7" s="19" t="str">
        <x:v>150 / 148</x:v>
      </x:c>
      <x:c r="AR7" s="20"/>
      <x:c r="AS7" s="20" t="str">
        <x:v>K</x:v>
      </x:c>
      <x:c r="AT7" s="20"/>
      <x:c r="AU7" s="19" t="str">
        <x:v>150/148 K</x:v>
      </x:c>
      <x:c r="AV7" s="19" t="str">
        <x:v>verified</x:v>
      </x:c>
      <x:c r="AW7" s="44" t="n">
        <x:v>895</x:v>
      </x:c>
      <x:c r="AX7" s="19" t="n">
        <x:v>35</x:v>
      </x:c>
      <x:c r="AY7" s="42" t="n">
        <x:v>35.24</x:v>
      </x:c>
      <x:c r="AZ7" s="44" t="n">
        <x:v>283</x:v>
      </x:c>
      <x:c r="BA7" s="19" t="n">
        <x:v>11</x:v>
      </x:c>
      <x:c r="BB7" s="42" t="n">
        <x:v>11.14</x:v>
      </x:c>
      <x:c r="BC7" s="20" t="str">
        <x:v>["steer","trailer"]</x:v>
      </x:c>
      <x:c r="BD7" s="20" t="str">
        <x:v>["long-haul","regional"]</x:v>
      </x:c>
      <x:c r="BE7" s="20" t="str">
        <x:v>["handling","safety","high-mileage"]</x:v>
      </x:c>
      <x:c r="BF7" s="20" t="str">
        <x:v>tbr</x:v>
      </x:c>
      <x:c r="BG7" s="20" t="str">
        <x:v>BIZON-MODEL-DLA968</x:v>
      </x:c>
      <x:c r="BH7" s="19" t="str">
        <x:v>DOUBLESTAR COMBODIA TBR CATALOGUE.pdf</x:v>
      </x:c>
      <x:c r="BI7" s="19" t="n">
        <x:v>4</x:v>
      </x:c>
      <x:c r="BJ7" s="19" t="n">
        <x:v>6</x:v>
      </x:c>
      <x:c r="BK7" s="19" t="str">
        <x:v>verified</x:v>
      </x:c>
      <x:c r="BL7" s="20" t="str">
        <x:v>[]</x:v>
      </x:c>
      <x:c r="BM7" s="31" t="b">
        <x:v>0</x:v>
      </x:c>
      <x:c r="BN7" s="20" t="str">
        <x:v>Грузовая шина BIZON DLA968 для магистральной и региональной эксплуатации.</x:v>
      </x:c>
      <x:c r="BO7" s="20" t="str">
        <x:v>Модель BIZON DLA968. Позиция установки по каталогу: Steer and trailer. Основные заявленные свойства: Управляемость; Безопасность; Высокий пробег.</x:v>
      </x:c>
    </x:row>
    <x:row r="8">
      <x:c r="A8" s="18" t="str">
        <x:v>BIZON-VAR-DLA968-26570R195-16PR</x:v>
      </x:c>
      <x:c r="B8" s="18" t="str">
        <x:v>BIZON-MODEL-DLA968</x:v>
      </x:c>
      <x:c r="C8" s="18" t="str">
        <x:v>BIZON</x:v>
      </x:c>
      <x:c r="D8" s="19" t="str">
        <x:v>DOUBLESTAR</x:v>
      </x:c>
      <x:c r="E8" s="18" t="str">
        <x:v>TBR</x:v>
      </x:c>
      <x:c r="F8" s="18" t="str">
        <x:v>DLA968</x:v>
      </x:c>
      <x:c r="G8" s="18" t="str">
        <x:v>dla968</x:v>
      </x:c>
      <x:c r="H8" s="18" t="str">
        <x:v>BIZON DLA968</x:v>
      </x:c>
      <x:c r="I8" s="18" t="str">
        <x:v>draft</x:v>
      </x:c>
      <x:c r="J8" s="19" t="str">
        <x:v>verified</x:v>
      </x:c>
      <x:c r="K8" s="19" t="str">
        <x:v>265/70R19.5</x:v>
      </x:c>
      <x:c r="L8" s="18" t="str">
        <x:v>265/70R19.5</x:v>
      </x:c>
      <x:c r="M8" s="18" t="str">
        <x:v>metric</x:v>
      </x:c>
      <x:c r="N8" s="39" t="n">
        <x:v>265</x:v>
      </x:c>
      <x:c r="O8" s="39"/>
      <x:c r="P8" s="40" t="n">
        <x:v>70</x:v>
      </x:c>
      <x:c r="Q8" s="18" t="str">
        <x:v>R</x:v>
      </x:c>
      <x:c r="R8" s="39" t="n">
        <x:v>19.5</x:v>
      </x:c>
      <x:c r="S8" s="18" t="n">
        <x:v>16</x:v>
      </x:c>
      <x:c r="T8" s="39" t="n">
        <x:v>14</x:v>
      </x:c>
      <x:c r="U8" s="41" t="n">
        <x:v>18</x:v>
      </x:c>
      <x:c r="V8" s="39" t="n">
        <x:v>7.5</x:v>
      </x:c>
      <x:c r="W8" s="19" t="n">
        <x:v>850</x:v>
      </x:c>
      <x:c r="X8" s="19" t="n">
        <x:v>850</x:v>
      </x:c>
      <x:c r="Y8" s="19" t="str">
        <x:v>PSI</x:v>
      </x:c>
      <x:c r="Z8" s="42" t="n">
        <x:v>850</x:v>
      </x:c>
      <x:c r="AA8" s="42" t="n">
        <x:v>850</x:v>
      </x:c>
      <x:c r="AB8" s="42" t="n">
        <x:v>8.5</x:v>
      </x:c>
      <x:c r="AC8" s="42" t="n">
        <x:v>8.5</x:v>
      </x:c>
      <x:c r="AD8" s="42" t="n">
        <x:v>123.3</x:v>
      </x:c>
      <x:c r="AE8" s="42" t="n">
        <x:v>123.3</x:v>
      </x:c>
      <x:c r="AF8" s="19" t="str">
        <x:v>verified</x:v>
      </x:c>
      <x:c r="AG8" s="19" t="n">
        <x:v>2500</x:v>
      </x:c>
      <x:c r="AH8" s="19" t="n">
        <x:v>2360</x:v>
      </x:c>
      <x:c r="AI8" s="19" t="str">
        <x:v>LBS</x:v>
      </x:c>
      <x:c r="AJ8" s="42" t="n">
        <x:v>2500</x:v>
      </x:c>
      <x:c r="AK8" s="42" t="n">
        <x:v>2360</x:v>
      </x:c>
      <x:c r="AL8" s="42" t="n">
        <x:v>5512</x:v>
      </x:c>
      <x:c r="AM8" s="42" t="n">
        <x:v>5203</x:v>
      </x:c>
      <x:c r="AN8" s="19" t="str">
        <x:v>verified</x:v>
      </x:c>
      <x:c r="AO8" s="18" t="n">
        <x:v>140</x:v>
      </x:c>
      <x:c r="AP8" s="18" t="n">
        <x:v>138</x:v>
      </x:c>
      <x:c r="AQ8" s="19" t="str">
        <x:v>140 / 138</x:v>
      </x:c>
      <x:c r="AR8" s="18"/>
      <x:c r="AS8" s="18" t="str">
        <x:v>M</x:v>
      </x:c>
      <x:c r="AT8" s="18"/>
      <x:c r="AU8" s="19" t="str">
        <x:v>140/138 M</x:v>
      </x:c>
      <x:c r="AV8" s="19" t="str">
        <x:v>verified</x:v>
      </x:c>
      <x:c r="AW8" s="39" t="n">
        <x:v>867</x:v>
      </x:c>
      <x:c r="AX8" s="19" t="n">
        <x:v>34</x:v>
      </x:c>
      <x:c r="AY8" s="42" t="n">
        <x:v>34.13</x:v>
      </x:c>
      <x:c r="AZ8" s="39" t="n">
        <x:v>262</x:v>
      </x:c>
      <x:c r="BA8" s="19" t="n">
        <x:v>10</x:v>
      </x:c>
      <x:c r="BB8" s="42" t="n">
        <x:v>10.31</x:v>
      </x:c>
      <x:c r="BC8" s="18" t="str">
        <x:v>["steer","trailer"]</x:v>
      </x:c>
      <x:c r="BD8" s="18" t="str">
        <x:v>["long-haul","regional"]</x:v>
      </x:c>
      <x:c r="BE8" s="18" t="str">
        <x:v>["handling","safety","high-mileage"]</x:v>
      </x:c>
      <x:c r="BF8" s="18" t="str">
        <x:v>tbr</x:v>
      </x:c>
      <x:c r="BG8" s="18" t="str">
        <x:v>BIZON-MODEL-DLA968</x:v>
      </x:c>
      <x:c r="BH8" s="19" t="str">
        <x:v>DOUBLESTAR COMBODIA TBR CATALOGUE.pdf</x:v>
      </x:c>
      <x:c r="BI8" s="19" t="n">
        <x:v>4</x:v>
      </x:c>
      <x:c r="BJ8" s="19" t="n">
        <x:v>7</x:v>
      </x:c>
      <x:c r="BK8" s="19" t="str">
        <x:v>verified</x:v>
      </x:c>
      <x:c r="BL8" s="18" t="str">
        <x:v>[]</x:v>
      </x:c>
      <x:c r="BM8" s="28" t="b">
        <x:v>0</x:v>
      </x:c>
      <x:c r="BN8" s="18" t="str">
        <x:v>Грузовая шина BIZON DLA968 для магистральной и региональной эксплуатации.</x:v>
      </x:c>
      <x:c r="BO8" s="18" t="str">
        <x:v>Модель BIZON DLA968. Позиция установки по каталогу: Steer and trailer. Основные заявленные свойства: Управляемость; Безопасность; Высокий пробег.</x:v>
      </x:c>
    </x:row>
    <x:row r="9">
      <x:c r="A9" s="20" t="str">
        <x:v>BIZON-VAR-DLA968-23575R175-16PR</x:v>
      </x:c>
      <x:c r="B9" s="20" t="str">
        <x:v>BIZON-MODEL-DLA968</x:v>
      </x:c>
      <x:c r="C9" s="20" t="str">
        <x:v>BIZON</x:v>
      </x:c>
      <x:c r="D9" s="19" t="str">
        <x:v>DOUBLESTAR</x:v>
      </x:c>
      <x:c r="E9" s="20" t="str">
        <x:v>TBR</x:v>
      </x:c>
      <x:c r="F9" s="20" t="str">
        <x:v>DLA968</x:v>
      </x:c>
      <x:c r="G9" s="20" t="str">
        <x:v>dla968</x:v>
      </x:c>
      <x:c r="H9" s="20" t="str">
        <x:v>BIZON DLA968</x:v>
      </x:c>
      <x:c r="I9" s="20" t="str">
        <x:v>draft</x:v>
      </x:c>
      <x:c r="J9" s="19" t="str">
        <x:v>verified</x:v>
      </x:c>
      <x:c r="K9" s="19" t="str">
        <x:v>235/75R17.5</x:v>
      </x:c>
      <x:c r="L9" s="20" t="str">
        <x:v>235/75R17.5</x:v>
      </x:c>
      <x:c r="M9" s="20" t="str">
        <x:v>metric</x:v>
      </x:c>
      <x:c r="N9" s="44" t="n">
        <x:v>235</x:v>
      </x:c>
      <x:c r="O9" s="44"/>
      <x:c r="P9" s="45" t="n">
        <x:v>75</x:v>
      </x:c>
      <x:c r="Q9" s="20" t="str">
        <x:v>R</x:v>
      </x:c>
      <x:c r="R9" s="44" t="n">
        <x:v>17.5</x:v>
      </x:c>
      <x:c r="S9" s="20" t="n">
        <x:v>16</x:v>
      </x:c>
      <x:c r="T9" s="44" t="n">
        <x:v>13</x:v>
      </x:c>
      <x:c r="U9" s="41" t="n">
        <x:v>16</x:v>
      </x:c>
      <x:c r="V9" s="44" t="n">
        <x:v>6.75</x:v>
      </x:c>
      <x:c r="W9" s="19" t="n">
        <x:v>875</x:v>
      </x:c>
      <x:c r="X9" s="19" t="n">
        <x:v>875</x:v>
      </x:c>
      <x:c r="Y9" s="19" t="str">
        <x:v>PSI</x:v>
      </x:c>
      <x:c r="Z9" s="42" t="n">
        <x:v>875</x:v>
      </x:c>
      <x:c r="AA9" s="42" t="n">
        <x:v>875</x:v>
      </x:c>
      <x:c r="AB9" s="42" t="n">
        <x:v>8.8</x:v>
      </x:c>
      <x:c r="AC9" s="42" t="n">
        <x:v>8.8</x:v>
      </x:c>
      <x:c r="AD9" s="42" t="n">
        <x:v>126.9</x:v>
      </x:c>
      <x:c r="AE9" s="42" t="n">
        <x:v>126.9</x:v>
      </x:c>
      <x:c r="AF9" s="19" t="str">
        <x:v>verified</x:v>
      </x:c>
      <x:c r="AG9" s="19" t="n">
        <x:v>2000</x:v>
      </x:c>
      <x:c r="AH9" s="19" t="n">
        <x:v>1900</x:v>
      </x:c>
      <x:c r="AI9" s="19" t="str">
        <x:v>LBS</x:v>
      </x:c>
      <x:c r="AJ9" s="42" t="n">
        <x:v>2000</x:v>
      </x:c>
      <x:c r="AK9" s="42" t="n">
        <x:v>1900</x:v>
      </x:c>
      <x:c r="AL9" s="42" t="n">
        <x:v>4409</x:v>
      </x:c>
      <x:c r="AM9" s="42" t="n">
        <x:v>4189</x:v>
      </x:c>
      <x:c r="AN9" s="19" t="str">
        <x:v>verified</x:v>
      </x:c>
      <x:c r="AO9" s="20" t="n">
        <x:v>132</x:v>
      </x:c>
      <x:c r="AP9" s="20" t="n">
        <x:v>130</x:v>
      </x:c>
      <x:c r="AQ9" s="19" t="str">
        <x:v>132 / 130</x:v>
      </x:c>
      <x:c r="AR9" s="20"/>
      <x:c r="AS9" s="20" t="str">
        <x:v>M</x:v>
      </x:c>
      <x:c r="AT9" s="20"/>
      <x:c r="AU9" s="19" t="str">
        <x:v>132/130 M</x:v>
      </x:c>
      <x:c r="AV9" s="19" t="str">
        <x:v>verified</x:v>
      </x:c>
      <x:c r="AW9" s="44" t="n">
        <x:v>797</x:v>
      </x:c>
      <x:c r="AX9" s="19" t="n">
        <x:v>31</x:v>
      </x:c>
      <x:c r="AY9" s="42" t="n">
        <x:v>31.38</x:v>
      </x:c>
      <x:c r="AZ9" s="44" t="n">
        <x:v>233</x:v>
      </x:c>
      <x:c r="BA9" s="19" t="n">
        <x:v>9</x:v>
      </x:c>
      <x:c r="BB9" s="42" t="n">
        <x:v>9.17</x:v>
      </x:c>
      <x:c r="BC9" s="20" t="str">
        <x:v>["steer","trailer"]</x:v>
      </x:c>
      <x:c r="BD9" s="20" t="str">
        <x:v>["long-haul","regional"]</x:v>
      </x:c>
      <x:c r="BE9" s="20" t="str">
        <x:v>["handling","safety","high-mileage"]</x:v>
      </x:c>
      <x:c r="BF9" s="20" t="str">
        <x:v>tbr</x:v>
      </x:c>
      <x:c r="BG9" s="20" t="str">
        <x:v>BIZON-MODEL-DLA968</x:v>
      </x:c>
      <x:c r="BH9" s="19" t="str">
        <x:v>DOUBLESTAR COMBODIA TBR CATALOGUE.pdf</x:v>
      </x:c>
      <x:c r="BI9" s="19" t="n">
        <x:v>4</x:v>
      </x:c>
      <x:c r="BJ9" s="19" t="n">
        <x:v>8</x:v>
      </x:c>
      <x:c r="BK9" s="19" t="str">
        <x:v>verified</x:v>
      </x:c>
      <x:c r="BL9" s="20" t="str">
        <x:v>[]</x:v>
      </x:c>
      <x:c r="BM9" s="31" t="b">
        <x:v>0</x:v>
      </x:c>
      <x:c r="BN9" s="20" t="str">
        <x:v>Грузовая шина BIZON DLA968 для магистральной и региональной эксплуатации.</x:v>
      </x:c>
      <x:c r="BO9" s="20" t="str">
        <x:v>Модель BIZON DLA968. Позиция установки по каталогу: Steer and trailer. Основные заявленные свойства: Управляемость; Безопасность; Высокий пробег.</x:v>
      </x:c>
    </x:row>
    <x:row r="10">
      <x:c r="A10" s="18" t="str">
        <x:v>BIZON-VAR-DLA968-21575R175-14PR</x:v>
      </x:c>
      <x:c r="B10" s="18" t="str">
        <x:v>BIZON-MODEL-DLA968</x:v>
      </x:c>
      <x:c r="C10" s="18" t="str">
        <x:v>BIZON</x:v>
      </x:c>
      <x:c r="D10" s="19" t="str">
        <x:v>DOUBLESTAR</x:v>
      </x:c>
      <x:c r="E10" s="18" t="str">
        <x:v>TBR</x:v>
      </x:c>
      <x:c r="F10" s="18" t="str">
        <x:v>DLA968</x:v>
      </x:c>
      <x:c r="G10" s="18" t="str">
        <x:v>dla968</x:v>
      </x:c>
      <x:c r="H10" s="18" t="str">
        <x:v>BIZON DLA968</x:v>
      </x:c>
      <x:c r="I10" s="18" t="str">
        <x:v>draft</x:v>
      </x:c>
      <x:c r="J10" s="19" t="str">
        <x:v>verified</x:v>
      </x:c>
      <x:c r="K10" s="19" t="str">
        <x:v>215/75R17.5</x:v>
      </x:c>
      <x:c r="L10" s="18" t="str">
        <x:v>215/75R17.5</x:v>
      </x:c>
      <x:c r="M10" s="18" t="str">
        <x:v>metric</x:v>
      </x:c>
      <x:c r="N10" s="39" t="n">
        <x:v>215</x:v>
      </x:c>
      <x:c r="O10" s="39"/>
      <x:c r="P10" s="40" t="n">
        <x:v>75</x:v>
      </x:c>
      <x:c r="Q10" s="18" t="str">
        <x:v>R</x:v>
      </x:c>
      <x:c r="R10" s="39" t="n">
        <x:v>17.5</x:v>
      </x:c>
      <x:c r="S10" s="18" t="n">
        <x:v>14</x:v>
      </x:c>
      <x:c r="T10" s="39" t="n">
        <x:v>13</x:v>
      </x:c>
      <x:c r="U10" s="41" t="n">
        <x:v>16</x:v>
      </x:c>
      <x:c r="V10" s="39" t="n">
        <x:v>6</x:v>
      </x:c>
      <x:c r="W10" s="19" t="n">
        <x:v>700</x:v>
      </x:c>
      <x:c r="X10" s="19" t="n">
        <x:v>700</x:v>
      </x:c>
      <x:c r="Y10" s="19" t="str">
        <x:v>PSI</x:v>
      </x:c>
      <x:c r="Z10" s="42" t="n">
        <x:v>700</x:v>
      </x:c>
      <x:c r="AA10" s="42" t="n">
        <x:v>700</x:v>
      </x:c>
      <x:c r="AB10" s="42" t="n">
        <x:v>7</x:v>
      </x:c>
      <x:c r="AC10" s="42" t="n">
        <x:v>7</x:v>
      </x:c>
      <x:c r="AD10" s="42" t="n">
        <x:v>101.5</x:v>
      </x:c>
      <x:c r="AE10" s="42" t="n">
        <x:v>101.5</x:v>
      </x:c>
      <x:c r="AF10" s="19" t="str">
        <x:v>verified</x:v>
      </x:c>
      <x:c r="AG10" s="19" t="n">
        <x:v>1800</x:v>
      </x:c>
      <x:c r="AH10" s="19" t="n">
        <x:v>1700</x:v>
      </x:c>
      <x:c r="AI10" s="19" t="str">
        <x:v>LBS</x:v>
      </x:c>
      <x:c r="AJ10" s="42" t="n">
        <x:v>1800</x:v>
      </x:c>
      <x:c r="AK10" s="42" t="n">
        <x:v>1700</x:v>
      </x:c>
      <x:c r="AL10" s="42" t="n">
        <x:v>3968</x:v>
      </x:c>
      <x:c r="AM10" s="42" t="n">
        <x:v>3748</x:v>
      </x:c>
      <x:c r="AN10" s="19" t="str">
        <x:v>verified</x:v>
      </x:c>
      <x:c r="AO10" s="18" t="n">
        <x:v>128</x:v>
      </x:c>
      <x:c r="AP10" s="18" t="n">
        <x:v>126</x:v>
      </x:c>
      <x:c r="AQ10" s="19" t="str">
        <x:v>128 / 126</x:v>
      </x:c>
      <x:c r="AR10" s="18"/>
      <x:c r="AS10" s="18" t="str">
        <x:v>M</x:v>
      </x:c>
      <x:c r="AT10" s="18"/>
      <x:c r="AU10" s="19" t="str">
        <x:v>128/126 M</x:v>
      </x:c>
      <x:c r="AV10" s="19" t="str">
        <x:v>verified</x:v>
      </x:c>
      <x:c r="AW10" s="39" t="n">
        <x:v>767</x:v>
      </x:c>
      <x:c r="AX10" s="19" t="n">
        <x:v>30</x:v>
      </x:c>
      <x:c r="AY10" s="42" t="n">
        <x:v>30.2</x:v>
      </x:c>
      <x:c r="AZ10" s="39" t="n">
        <x:v>211</x:v>
      </x:c>
      <x:c r="BA10" s="19" t="n">
        <x:v>8</x:v>
      </x:c>
      <x:c r="BB10" s="42" t="n">
        <x:v>8.31</x:v>
      </x:c>
      <x:c r="BC10" s="18" t="str">
        <x:v>["steer","trailer"]</x:v>
      </x:c>
      <x:c r="BD10" s="18" t="str">
        <x:v>["long-haul","regional"]</x:v>
      </x:c>
      <x:c r="BE10" s="18" t="str">
        <x:v>["handling","safety","high-mileage"]</x:v>
      </x:c>
      <x:c r="BF10" s="18" t="str">
        <x:v>tbr</x:v>
      </x:c>
      <x:c r="BG10" s="18" t="str">
        <x:v>BIZON-MODEL-DLA968</x:v>
      </x:c>
      <x:c r="BH10" s="19" t="str">
        <x:v>DOUBLESTAR COMBODIA TBR CATALOGUE.pdf</x:v>
      </x:c>
      <x:c r="BI10" s="19" t="n">
        <x:v>4</x:v>
      </x:c>
      <x:c r="BJ10" s="19" t="n">
        <x:v>9</x:v>
      </x:c>
      <x:c r="BK10" s="19" t="str">
        <x:v>verified</x:v>
      </x:c>
      <x:c r="BL10" s="18" t="str">
        <x:v>[]</x:v>
      </x:c>
      <x:c r="BM10" s="28" t="b">
        <x:v>0</x:v>
      </x:c>
      <x:c r="BN10" s="18" t="str">
        <x:v>Грузовая шина BIZON DLA968 для магистральной и региональной эксплуатации.</x:v>
      </x:c>
      <x:c r="BO10" s="18" t="str">
        <x:v>Модель BIZON DLA968. Позиция установки по каталогу: Steer and trailer. Основные заявленные свойства: Управляемость; Безопасность; Высокий пробег.</x:v>
      </x:c>
    </x:row>
    <x:row r="11">
      <x:c r="A11" s="20" t="str">
        <x:v>BIZON-VAR-DSR266-31570R225-18PR</x:v>
      </x:c>
      <x:c r="B11" s="20" t="str">
        <x:v>BIZON-MODEL-DSR266</x:v>
      </x:c>
      <x:c r="C11" s="20" t="str">
        <x:v>BIZON</x:v>
      </x:c>
      <x:c r="D11" s="19" t="str">
        <x:v>DOUBLESTAR</x:v>
      </x:c>
      <x:c r="E11" s="20" t="str">
        <x:v>TBR</x:v>
      </x:c>
      <x:c r="F11" s="20" t="str">
        <x:v>DSR266</x:v>
      </x:c>
      <x:c r="G11" s="20" t="str">
        <x:v>dsr266</x:v>
      </x:c>
      <x:c r="H11" s="20" t="str">
        <x:v>BIZON DSR266</x:v>
      </x:c>
      <x:c r="I11" s="20" t="str">
        <x:v>draft</x:v>
      </x:c>
      <x:c r="J11" s="19" t="str">
        <x:v>verified</x:v>
      </x:c>
      <x:c r="K11" s="19" t="str">
        <x:v>315/70R22.5</x:v>
      </x:c>
      <x:c r="L11" s="20" t="str">
        <x:v>315/70R22.5</x:v>
      </x:c>
      <x:c r="M11" s="20" t="str">
        <x:v>metric</x:v>
      </x:c>
      <x:c r="N11" s="44" t="n">
        <x:v>315</x:v>
      </x:c>
      <x:c r="O11" s="44"/>
      <x:c r="P11" s="45" t="n">
        <x:v>70</x:v>
      </x:c>
      <x:c r="Q11" s="20" t="str">
        <x:v>R</x:v>
      </x:c>
      <x:c r="R11" s="44" t="n">
        <x:v>22.5</x:v>
      </x:c>
      <x:c r="S11" s="20" t="n">
        <x:v>18</x:v>
      </x:c>
      <x:c r="T11" s="44" t="n">
        <x:v>15.3</x:v>
      </x:c>
      <x:c r="U11" s="41" t="n">
        <x:v>19</x:v>
      </x:c>
      <x:c r="V11" s="44" t="n">
        <x:v>9</x:v>
      </x:c>
      <x:c r="W11" s="19" t="n">
        <x:v>900</x:v>
      </x:c>
      <x:c r="X11" s="19" t="n">
        <x:v>900</x:v>
      </x:c>
      <x:c r="Y11" s="19" t="str">
        <x:v>PSI</x:v>
      </x:c>
      <x:c r="Z11" s="42" t="n">
        <x:v>900</x:v>
      </x:c>
      <x:c r="AA11" s="42" t="n">
        <x:v>900</x:v>
      </x:c>
      <x:c r="AB11" s="42" t="n">
        <x:v>9</x:v>
      </x:c>
      <x:c r="AC11" s="42" t="n">
        <x:v>9</x:v>
      </x:c>
      <x:c r="AD11" s="42" t="n">
        <x:v>130.5</x:v>
      </x:c>
      <x:c r="AE11" s="42" t="n">
        <x:v>130.5</x:v>
      </x:c>
      <x:c r="AF11" s="19" t="str">
        <x:v>verified</x:v>
      </x:c>
      <x:c r="AG11" s="19" t="n">
        <x:v>3750</x:v>
      </x:c>
      <x:c r="AH11" s="19" t="n">
        <x:v>3350</x:v>
      </x:c>
      <x:c r="AI11" s="19" t="str">
        <x:v>LBS</x:v>
      </x:c>
      <x:c r="AJ11" s="42" t="n">
        <x:v>3750</x:v>
      </x:c>
      <x:c r="AK11" s="42" t="n">
        <x:v>3350</x:v>
      </x:c>
      <x:c r="AL11" s="42" t="n">
        <x:v>8267</x:v>
      </x:c>
      <x:c r="AM11" s="42" t="n">
        <x:v>7385</x:v>
      </x:c>
      <x:c r="AN11" s="19" t="str">
        <x:v>verified</x:v>
      </x:c>
      <x:c r="AO11" s="20" t="n">
        <x:v>154</x:v>
      </x:c>
      <x:c r="AP11" s="20" t="n">
        <x:v>150</x:v>
      </x:c>
      <x:c r="AQ11" s="19" t="str">
        <x:v>154 / 150</x:v>
      </x:c>
      <x:c r="AR11" s="20"/>
      <x:c r="AS11" s="20" t="str">
        <x:v>L</x:v>
      </x:c>
      <x:c r="AT11" s="20"/>
      <x:c r="AU11" s="19" t="str">
        <x:v>154/150 L</x:v>
      </x:c>
      <x:c r="AV11" s="19" t="str">
        <x:v>verified</x:v>
      </x:c>
      <x:c r="AW11" s="44" t="n">
        <x:v>1014</x:v>
      </x:c>
      <x:c r="AX11" s="19" t="n">
        <x:v>40</x:v>
      </x:c>
      <x:c r="AY11" s="42" t="n">
        <x:v>39.92</x:v>
      </x:c>
      <x:c r="AZ11" s="44" t="n">
        <x:v>312</x:v>
      </x:c>
      <x:c r="BA11" s="19" t="n">
        <x:v>12</x:v>
      </x:c>
      <x:c r="BB11" s="42" t="n">
        <x:v>12.28</x:v>
      </x:c>
      <x:c r="BC11" s="20" t="str">
        <x:v>["steer","drive","trailer"]</x:v>
      </x:c>
      <x:c r="BD11" s="20" t="str">
        <x:v>["long-haul"]</x:v>
      </x:c>
      <x:c r="BE11" s="20" t="str">
        <x:v>["economy","high-mileage","wet-grip"]</x:v>
      </x:c>
      <x:c r="BF11" s="20" t="str">
        <x:v>tbr</x:v>
      </x:c>
      <x:c r="BG11" s="20" t="str">
        <x:v>BIZON-MODEL-DSR266</x:v>
      </x:c>
      <x:c r="BH11" s="19" t="str">
        <x:v>DOUBLESTAR COMBODIA TBR CATALOGUE.pdf</x:v>
      </x:c>
      <x:c r="BI11" s="19" t="n">
        <x:v>4</x:v>
      </x:c>
      <x:c r="BJ11" s="19" t="n">
        <x:v>1</x:v>
      </x:c>
      <x:c r="BK11" s="19" t="str">
        <x:v>verified</x:v>
      </x:c>
      <x:c r="BL11" s="20" t="str">
        <x:v>[]</x:v>
      </x:c>
      <x:c r="BM11" s="31" t="b">
        <x:v>0</x:v>
      </x:c>
      <x:c r="BN11" s="20" t="str">
        <x:v>Грузовая шина BIZON DSR266 для магистральной эксплуатации.</x:v>
      </x:c>
      <x:c r="BO11" s="20" t="str">
        <x:v>Модель BIZON DSR266. Позиция установки по каталогу: All position. Основные заявленные свойства: Экономичность; Высокий пробег; Сцепление на мокрой дороге.</x:v>
      </x:c>
    </x:row>
    <x:row r="12">
      <x:c r="A12" s="18" t="str">
        <x:v>BIZON-VAR-DSR266-31580R225-20PR</x:v>
      </x:c>
      <x:c r="B12" s="18" t="str">
        <x:v>BIZON-MODEL-DSR266</x:v>
      </x:c>
      <x:c r="C12" s="18" t="str">
        <x:v>BIZON</x:v>
      </x:c>
      <x:c r="D12" s="19" t="str">
        <x:v>DOUBLESTAR</x:v>
      </x:c>
      <x:c r="E12" s="18" t="str">
        <x:v>TBR</x:v>
      </x:c>
      <x:c r="F12" s="18" t="str">
        <x:v>DSR266</x:v>
      </x:c>
      <x:c r="G12" s="18" t="str">
        <x:v>dsr266</x:v>
      </x:c>
      <x:c r="H12" s="18" t="str">
        <x:v>BIZON DSR266</x:v>
      </x:c>
      <x:c r="I12" s="18" t="str">
        <x:v>draft</x:v>
      </x:c>
      <x:c r="J12" s="19" t="str">
        <x:v>verified</x:v>
      </x:c>
      <x:c r="K12" s="19" t="str">
        <x:v>315/80R22.5</x:v>
      </x:c>
      <x:c r="L12" s="18" t="str">
        <x:v>315/80R22.5</x:v>
      </x:c>
      <x:c r="M12" s="18" t="str">
        <x:v>metric</x:v>
      </x:c>
      <x:c r="N12" s="39" t="n">
        <x:v>315</x:v>
      </x:c>
      <x:c r="O12" s="39"/>
      <x:c r="P12" s="40" t="n">
        <x:v>80</x:v>
      </x:c>
      <x:c r="Q12" s="18" t="str">
        <x:v>R</x:v>
      </x:c>
      <x:c r="R12" s="39" t="n">
        <x:v>22.5</x:v>
      </x:c>
      <x:c r="S12" s="18" t="n">
        <x:v>20</x:v>
      </x:c>
      <x:c r="T12" s="39" t="n">
        <x:v>15</x:v>
      </x:c>
      <x:c r="U12" s="41" t="n">
        <x:v>19</x:v>
      </x:c>
      <x:c r="V12" s="39" t="n">
        <x:v>9</x:v>
      </x:c>
      <x:c r="W12" s="19" t="n">
        <x:v>850</x:v>
      </x:c>
      <x:c r="X12" s="19" t="n">
        <x:v>850</x:v>
      </x:c>
      <x:c r="Y12" s="19" t="str">
        <x:v>PSI</x:v>
      </x:c>
      <x:c r="Z12" s="42" t="n">
        <x:v>850</x:v>
      </x:c>
      <x:c r="AA12" s="42" t="n">
        <x:v>850</x:v>
      </x:c>
      <x:c r="AB12" s="42" t="n">
        <x:v>8.5</x:v>
      </x:c>
      <x:c r="AC12" s="42" t="n">
        <x:v>8.5</x:v>
      </x:c>
      <x:c r="AD12" s="42" t="n">
        <x:v>123.3</x:v>
      </x:c>
      <x:c r="AE12" s="42" t="n">
        <x:v>123.3</x:v>
      </x:c>
      <x:c r="AF12" s="19" t="str">
        <x:v>verified</x:v>
      </x:c>
      <x:c r="AG12" s="19" t="n">
        <x:v>4000</x:v>
      </x:c>
      <x:c r="AH12" s="19" t="n">
        <x:v>3350</x:v>
      </x:c>
      <x:c r="AI12" s="19" t="str">
        <x:v>LBS</x:v>
      </x:c>
      <x:c r="AJ12" s="42" t="n">
        <x:v>4000</x:v>
      </x:c>
      <x:c r="AK12" s="42" t="n">
        <x:v>3350</x:v>
      </x:c>
      <x:c r="AL12" s="42" t="n">
        <x:v>8818</x:v>
      </x:c>
      <x:c r="AM12" s="42" t="n">
        <x:v>7385</x:v>
      </x:c>
      <x:c r="AN12" s="19" t="str">
        <x:v>verified</x:v>
      </x:c>
      <x:c r="AO12" s="18" t="n">
        <x:v>156</x:v>
      </x:c>
      <x:c r="AP12" s="18" t="n">
        <x:v>150</x:v>
      </x:c>
      <x:c r="AQ12" s="19" t="str">
        <x:v>156 / 150</x:v>
      </x:c>
      <x:c r="AR12" s="18"/>
      <x:c r="AS12" s="18" t="str">
        <x:v>L</x:v>
      </x:c>
      <x:c r="AT12" s="18"/>
      <x:c r="AU12" s="19" t="str">
        <x:v>156/150 L</x:v>
      </x:c>
      <x:c r="AV12" s="19" t="str">
        <x:v>verified</x:v>
      </x:c>
      <x:c r="AW12" s="39" t="n">
        <x:v>1076</x:v>
      </x:c>
      <x:c r="AX12" s="19" t="n">
        <x:v>42</x:v>
      </x:c>
      <x:c r="AY12" s="42" t="n">
        <x:v>42.36</x:v>
      </x:c>
      <x:c r="AZ12" s="39" t="n">
        <x:v>312</x:v>
      </x:c>
      <x:c r="BA12" s="19" t="n">
        <x:v>12</x:v>
      </x:c>
      <x:c r="BB12" s="42" t="n">
        <x:v>12.28</x:v>
      </x:c>
      <x:c r="BC12" s="18" t="str">
        <x:v>["steer","drive","trailer"]</x:v>
      </x:c>
      <x:c r="BD12" s="18" t="str">
        <x:v>["long-haul"]</x:v>
      </x:c>
      <x:c r="BE12" s="18" t="str">
        <x:v>["economy","high-mileage","wet-grip"]</x:v>
      </x:c>
      <x:c r="BF12" s="18" t="str">
        <x:v>tbr</x:v>
      </x:c>
      <x:c r="BG12" s="18" t="str">
        <x:v>BIZON-MODEL-DSR266</x:v>
      </x:c>
      <x:c r="BH12" s="19" t="str">
        <x:v>DOUBLESTAR COMBODIA TBR CATALOGUE.pdf</x:v>
      </x:c>
      <x:c r="BI12" s="19" t="n">
        <x:v>4</x:v>
      </x:c>
      <x:c r="BJ12" s="19" t="n">
        <x:v>2</x:v>
      </x:c>
      <x:c r="BK12" s="19" t="str">
        <x:v>verified</x:v>
      </x:c>
      <x:c r="BL12" s="18" t="str">
        <x:v>[]</x:v>
      </x:c>
      <x:c r="BM12" s="28" t="b">
        <x:v>0</x:v>
      </x:c>
      <x:c r="BN12" s="18" t="str">
        <x:v>Грузовая шина BIZON DSR266 для магистральной эксплуатации.</x:v>
      </x:c>
      <x:c r="BO12" s="18" t="str">
        <x:v>Модель BIZON DSR266. Позиция установки по каталогу: All position. Основные заявленные свойства: Экономичность; Высокий пробег; Сцепление на мокрой дороге.</x:v>
      </x:c>
    </x:row>
    <x:row r="13">
      <x:c r="A13" s="20" t="str">
        <x:v>BIZON-VAR-DLD816-31580R225-20PR</x:v>
      </x:c>
      <x:c r="B13" s="20" t="str">
        <x:v>BIZON-MODEL-DLD816</x:v>
      </x:c>
      <x:c r="C13" s="20" t="str">
        <x:v>BIZON</x:v>
      </x:c>
      <x:c r="D13" s="19" t="str">
        <x:v>DOUBLESTAR</x:v>
      </x:c>
      <x:c r="E13" s="20" t="str">
        <x:v>TBR</x:v>
      </x:c>
      <x:c r="F13" s="20" t="str">
        <x:v>DLD816</x:v>
      </x:c>
      <x:c r="G13" s="20" t="str">
        <x:v>dld816</x:v>
      </x:c>
      <x:c r="H13" s="20" t="str">
        <x:v>BIZON DLD816</x:v>
      </x:c>
      <x:c r="I13" s="20" t="str">
        <x:v>draft</x:v>
      </x:c>
      <x:c r="J13" s="19" t="str">
        <x:v>verified</x:v>
      </x:c>
      <x:c r="K13" s="19" t="str">
        <x:v>315/80R22.5</x:v>
      </x:c>
      <x:c r="L13" s="20" t="str">
        <x:v>315/80R22.5</x:v>
      </x:c>
      <x:c r="M13" s="20" t="str">
        <x:v>metric</x:v>
      </x:c>
      <x:c r="N13" s="44" t="n">
        <x:v>315</x:v>
      </x:c>
      <x:c r="O13" s="44"/>
      <x:c r="P13" s="45" t="n">
        <x:v>80</x:v>
      </x:c>
      <x:c r="Q13" s="20" t="str">
        <x:v>R</x:v>
      </x:c>
      <x:c r="R13" s="44" t="n">
        <x:v>22.5</x:v>
      </x:c>
      <x:c r="S13" s="20" t="n">
        <x:v>20</x:v>
      </x:c>
      <x:c r="T13" s="44" t="n">
        <x:v>19</x:v>
      </x:c>
      <x:c r="U13" s="41" t="n">
        <x:v>24</x:v>
      </x:c>
      <x:c r="V13" s="44" t="n">
        <x:v>9</x:v>
      </x:c>
      <x:c r="W13" s="19" t="n">
        <x:v>850</x:v>
      </x:c>
      <x:c r="X13" s="19" t="n">
        <x:v>850</x:v>
      </x:c>
      <x:c r="Y13" s="19" t="str">
        <x:v>PSI</x:v>
      </x:c>
      <x:c r="Z13" s="42" t="n">
        <x:v>850</x:v>
      </x:c>
      <x:c r="AA13" s="42" t="n">
        <x:v>850</x:v>
      </x:c>
      <x:c r="AB13" s="42" t="n">
        <x:v>8.5</x:v>
      </x:c>
      <x:c r="AC13" s="42" t="n">
        <x:v>8.5</x:v>
      </x:c>
      <x:c r="AD13" s="42" t="n">
        <x:v>123.3</x:v>
      </x:c>
      <x:c r="AE13" s="42" t="n">
        <x:v>123.3</x:v>
      </x:c>
      <x:c r="AF13" s="19" t="str">
        <x:v>verified</x:v>
      </x:c>
      <x:c r="AG13" s="19" t="n">
        <x:v>4000</x:v>
      </x:c>
      <x:c r="AH13" s="19" t="n">
        <x:v>3350</x:v>
      </x:c>
      <x:c r="AI13" s="19" t="str">
        <x:v>LBS</x:v>
      </x:c>
      <x:c r="AJ13" s="42" t="n">
        <x:v>4000</x:v>
      </x:c>
      <x:c r="AK13" s="42" t="n">
        <x:v>3350</x:v>
      </x:c>
      <x:c r="AL13" s="42" t="n">
        <x:v>8818</x:v>
      </x:c>
      <x:c r="AM13" s="42" t="n">
        <x:v>7385</x:v>
      </x:c>
      <x:c r="AN13" s="19" t="str">
        <x:v>verified</x:v>
      </x:c>
      <x:c r="AO13" s="20" t="n">
        <x:v>156</x:v>
      </x:c>
      <x:c r="AP13" s="20" t="n">
        <x:v>150</x:v>
      </x:c>
      <x:c r="AQ13" s="19" t="str">
        <x:v>156 / 150</x:v>
      </x:c>
      <x:c r="AR13" s="20"/>
      <x:c r="AS13" s="20" t="str">
        <x:v>L</x:v>
      </x:c>
      <x:c r="AT13" s="20"/>
      <x:c r="AU13" s="19" t="str">
        <x:v>156/150 L</x:v>
      </x:c>
      <x:c r="AV13" s="19" t="str">
        <x:v>verified</x:v>
      </x:c>
      <x:c r="AW13" s="44" t="n">
        <x:v>1076</x:v>
      </x:c>
      <x:c r="AX13" s="19" t="n">
        <x:v>42</x:v>
      </x:c>
      <x:c r="AY13" s="42" t="n">
        <x:v>42.36</x:v>
      </x:c>
      <x:c r="AZ13" s="44" t="n">
        <x:v>312</x:v>
      </x:c>
      <x:c r="BA13" s="19" t="n">
        <x:v>12</x:v>
      </x:c>
      <x:c r="BB13" s="42" t="n">
        <x:v>12.28</x:v>
      </x:c>
      <x:c r="BC13" s="20" t="str">
        <x:v>["drive"]</x:v>
      </x:c>
      <x:c r="BD13" s="20" t="str">
        <x:v>["long-haul"]</x:v>
      </x:c>
      <x:c r="BE13" s="20" t="str">
        <x:v>["high-mileage","wet-grip","heavy-load"]</x:v>
      </x:c>
      <x:c r="BF13" s="20" t="str">
        <x:v>tbr</x:v>
      </x:c>
      <x:c r="BG13" s="20" t="str">
        <x:v>BIZON-MODEL-DLD816</x:v>
      </x:c>
      <x:c r="BH13" s="19" t="str">
        <x:v>DOUBLESTAR COMBODIA TBR CATALOGUE.pdf</x:v>
      </x:c>
      <x:c r="BI13" s="19" t="n">
        <x:v>4</x:v>
      </x:c>
      <x:c r="BJ13" s="19" t="n">
        <x:v>1</x:v>
      </x:c>
      <x:c r="BK13" s="19" t="str">
        <x:v>verified</x:v>
      </x:c>
      <x:c r="BL13" s="20" t="str">
        <x:v>[]</x:v>
      </x:c>
      <x:c r="BM13" s="31" t="b">
        <x:v>0</x:v>
      </x:c>
      <x:c r="BN13" s="20" t="str">
        <x:v>Грузовая шина BIZON DLD816 для магистральной эксплуатации.</x:v>
      </x:c>
      <x:c r="BO13" s="20" t="str">
        <x:v>Модель BIZON DLD816. Позиция установки по каталогу: Drive. Основные заявленные свойства: Высокий пробег; Сцепление на мокрой дороге; Высокая грузоподъёмность.</x:v>
      </x:c>
    </x:row>
    <x:row r="14">
      <x:c r="A14" s="18" t="str">
        <x:v>BIZON-VAR-DLD816-31570R225-18PR</x:v>
      </x:c>
      <x:c r="B14" s="18" t="str">
        <x:v>BIZON-MODEL-DLD816</x:v>
      </x:c>
      <x:c r="C14" s="18" t="str">
        <x:v>BIZON</x:v>
      </x:c>
      <x:c r="D14" s="19" t="str">
        <x:v>DOUBLESTAR</x:v>
      </x:c>
      <x:c r="E14" s="18" t="str">
        <x:v>TBR</x:v>
      </x:c>
      <x:c r="F14" s="18" t="str">
        <x:v>DLD816</x:v>
      </x:c>
      <x:c r="G14" s="18" t="str">
        <x:v>dld816</x:v>
      </x:c>
      <x:c r="H14" s="18" t="str">
        <x:v>BIZON DLD816</x:v>
      </x:c>
      <x:c r="I14" s="18" t="str">
        <x:v>draft</x:v>
      </x:c>
      <x:c r="J14" s="19" t="str">
        <x:v>verified</x:v>
      </x:c>
      <x:c r="K14" s="19" t="str">
        <x:v>315/70R22.5</x:v>
      </x:c>
      <x:c r="L14" s="18" t="str">
        <x:v>315/70R22.5</x:v>
      </x:c>
      <x:c r="M14" s="18" t="str">
        <x:v>metric</x:v>
      </x:c>
      <x:c r="N14" s="39" t="n">
        <x:v>315</x:v>
      </x:c>
      <x:c r="O14" s="39"/>
      <x:c r="P14" s="40" t="n">
        <x:v>70</x:v>
      </x:c>
      <x:c r="Q14" s="18" t="str">
        <x:v>R</x:v>
      </x:c>
      <x:c r="R14" s="39" t="n">
        <x:v>22.5</x:v>
      </x:c>
      <x:c r="S14" s="18" t="n">
        <x:v>18</x:v>
      </x:c>
      <x:c r="T14" s="39" t="n">
        <x:v>18.5</x:v>
      </x:c>
      <x:c r="U14" s="41" t="n">
        <x:v>23</x:v>
      </x:c>
      <x:c r="V14" s="39" t="n">
        <x:v>9</x:v>
      </x:c>
      <x:c r="W14" s="19" t="n">
        <x:v>900</x:v>
      </x:c>
      <x:c r="X14" s="19" t="n">
        <x:v>900</x:v>
      </x:c>
      <x:c r="Y14" s="19" t="str">
        <x:v>PSI</x:v>
      </x:c>
      <x:c r="Z14" s="42" t="n">
        <x:v>900</x:v>
      </x:c>
      <x:c r="AA14" s="42" t="n">
        <x:v>900</x:v>
      </x:c>
      <x:c r="AB14" s="42" t="n">
        <x:v>9</x:v>
      </x:c>
      <x:c r="AC14" s="42" t="n">
        <x:v>9</x:v>
      </x:c>
      <x:c r="AD14" s="42" t="n">
        <x:v>130.5</x:v>
      </x:c>
      <x:c r="AE14" s="42" t="n">
        <x:v>130.5</x:v>
      </x:c>
      <x:c r="AF14" s="19" t="str">
        <x:v>verified</x:v>
      </x:c>
      <x:c r="AG14" s="19" t="n">
        <x:v>3750</x:v>
      </x:c>
      <x:c r="AH14" s="19" t="n">
        <x:v>3350</x:v>
      </x:c>
      <x:c r="AI14" s="19" t="str">
        <x:v>LBS</x:v>
      </x:c>
      <x:c r="AJ14" s="42" t="n">
        <x:v>3750</x:v>
      </x:c>
      <x:c r="AK14" s="42" t="n">
        <x:v>3350</x:v>
      </x:c>
      <x:c r="AL14" s="42" t="n">
        <x:v>8267</x:v>
      </x:c>
      <x:c r="AM14" s="42" t="n">
        <x:v>7385</x:v>
      </x:c>
      <x:c r="AN14" s="19" t="str">
        <x:v>verified</x:v>
      </x:c>
      <x:c r="AO14" s="18" t="n">
        <x:v>154</x:v>
      </x:c>
      <x:c r="AP14" s="18" t="n">
        <x:v>150</x:v>
      </x:c>
      <x:c r="AQ14" s="19" t="str">
        <x:v>154 / 150</x:v>
      </x:c>
      <x:c r="AR14" s="18"/>
      <x:c r="AS14" s="18" t="str">
        <x:v>L</x:v>
      </x:c>
      <x:c r="AT14" s="18"/>
      <x:c r="AU14" s="19" t="str">
        <x:v>154/150 L</x:v>
      </x:c>
      <x:c r="AV14" s="19" t="str">
        <x:v>verified</x:v>
      </x:c>
      <x:c r="AW14" s="39" t="n">
        <x:v>1014</x:v>
      </x:c>
      <x:c r="AX14" s="19" t="n">
        <x:v>40</x:v>
      </x:c>
      <x:c r="AY14" s="42" t="n">
        <x:v>39.92</x:v>
      </x:c>
      <x:c r="AZ14" s="39" t="n">
        <x:v>312</x:v>
      </x:c>
      <x:c r="BA14" s="19" t="n">
        <x:v>12</x:v>
      </x:c>
      <x:c r="BB14" s="42" t="n">
        <x:v>12.28</x:v>
      </x:c>
      <x:c r="BC14" s="18" t="str">
        <x:v>["drive"]</x:v>
      </x:c>
      <x:c r="BD14" s="18" t="str">
        <x:v>["long-haul"]</x:v>
      </x:c>
      <x:c r="BE14" s="18" t="str">
        <x:v>["high-mileage","wet-grip","heavy-load"]</x:v>
      </x:c>
      <x:c r="BF14" s="18" t="str">
        <x:v>tbr</x:v>
      </x:c>
      <x:c r="BG14" s="18" t="str">
        <x:v>BIZON-MODEL-DLD816</x:v>
      </x:c>
      <x:c r="BH14" s="19" t="str">
        <x:v>DOUBLESTAR COMBODIA TBR CATALOGUE.pdf</x:v>
      </x:c>
      <x:c r="BI14" s="19" t="n">
        <x:v>4</x:v>
      </x:c>
      <x:c r="BJ14" s="19" t="n">
        <x:v>2</x:v>
      </x:c>
      <x:c r="BK14" s="19" t="str">
        <x:v>verified</x:v>
      </x:c>
      <x:c r="BL14" s="18" t="str">
        <x:v>[]</x:v>
      </x:c>
      <x:c r="BM14" s="28" t="b">
        <x:v>0</x:v>
      </x:c>
      <x:c r="BN14" s="18" t="str">
        <x:v>Грузовая шина BIZON DLD816 для магистральной эксплуатации.</x:v>
      </x:c>
      <x:c r="BO14" s="18" t="str">
        <x:v>Модель BIZON DLD816. Позиция установки по каталогу: Drive. Основные заявленные свойства: Высокий пробег; Сцепление на мокрой дороге; Высокая грузоподъёмность.</x:v>
      </x:c>
    </x:row>
    <x:row r="15">
      <x:c r="A15" s="20" t="str">
        <x:v>BIZON-VAR-DLD816-31560R225-16PR</x:v>
      </x:c>
      <x:c r="B15" s="20" t="str">
        <x:v>BIZON-MODEL-DLD816</x:v>
      </x:c>
      <x:c r="C15" s="20" t="str">
        <x:v>BIZON</x:v>
      </x:c>
      <x:c r="D15" s="19" t="str">
        <x:v>DOUBLESTAR</x:v>
      </x:c>
      <x:c r="E15" s="20" t="str">
        <x:v>TBR</x:v>
      </x:c>
      <x:c r="F15" s="20" t="str">
        <x:v>DLD816</x:v>
      </x:c>
      <x:c r="G15" s="20" t="str">
        <x:v>dld816</x:v>
      </x:c>
      <x:c r="H15" s="20" t="str">
        <x:v>BIZON DLD816</x:v>
      </x:c>
      <x:c r="I15" s="20" t="str">
        <x:v>draft</x:v>
      </x:c>
      <x:c r="J15" s="19" t="str">
        <x:v>verified</x:v>
      </x:c>
      <x:c r="K15" s="19" t="str">
        <x:v>315/60R22.5</x:v>
      </x:c>
      <x:c r="L15" s="20" t="str">
        <x:v>315/60R22.5</x:v>
      </x:c>
      <x:c r="M15" s="20" t="str">
        <x:v>metric</x:v>
      </x:c>
      <x:c r="N15" s="44" t="n">
        <x:v>315</x:v>
      </x:c>
      <x:c r="O15" s="44"/>
      <x:c r="P15" s="45" t="n">
        <x:v>60</x:v>
      </x:c>
      <x:c r="Q15" s="20" t="str">
        <x:v>R</x:v>
      </x:c>
      <x:c r="R15" s="44" t="n">
        <x:v>22.5</x:v>
      </x:c>
      <x:c r="S15" s="20" t="n">
        <x:v>16</x:v>
      </x:c>
      <x:c r="T15" s="44" t="n">
        <x:v>18</x:v>
      </x:c>
      <x:c r="U15" s="41" t="n">
        <x:v>23</x:v>
      </x:c>
      <x:c r="V15" s="44" t="n">
        <x:v>9.75</x:v>
      </x:c>
      <x:c r="W15" s="19" t="n">
        <x:v>900</x:v>
      </x:c>
      <x:c r="X15" s="19" t="n">
        <x:v>900</x:v>
      </x:c>
      <x:c r="Y15" s="19" t="str">
        <x:v>PSI</x:v>
      </x:c>
      <x:c r="Z15" s="42" t="n">
        <x:v>900</x:v>
      </x:c>
      <x:c r="AA15" s="42" t="n">
        <x:v>900</x:v>
      </x:c>
      <x:c r="AB15" s="42" t="n">
        <x:v>9</x:v>
      </x:c>
      <x:c r="AC15" s="42" t="n">
        <x:v>9</x:v>
      </x:c>
      <x:c r="AD15" s="42" t="n">
        <x:v>130.5</x:v>
      </x:c>
      <x:c r="AE15" s="42" t="n">
        <x:v>130.5</x:v>
      </x:c>
      <x:c r="AF15" s="19" t="str">
        <x:v>verified</x:v>
      </x:c>
      <x:c r="AG15" s="19" t="n">
        <x:v>3550</x:v>
      </x:c>
      <x:c r="AH15" s="19" t="n">
        <x:v>3150</x:v>
      </x:c>
      <x:c r="AI15" s="19" t="str">
        <x:v>LBS</x:v>
      </x:c>
      <x:c r="AJ15" s="42" t="n">
        <x:v>3550</x:v>
      </x:c>
      <x:c r="AK15" s="42" t="n">
        <x:v>3150</x:v>
      </x:c>
      <x:c r="AL15" s="42" t="n">
        <x:v>7826</x:v>
      </x:c>
      <x:c r="AM15" s="42" t="n">
        <x:v>6945</x:v>
      </x:c>
      <x:c r="AN15" s="19" t="str">
        <x:v>verified</x:v>
      </x:c>
      <x:c r="AO15" s="20" t="n">
        <x:v>152</x:v>
      </x:c>
      <x:c r="AP15" s="20" t="n">
        <x:v>148</x:v>
      </x:c>
      <x:c r="AQ15" s="19" t="str">
        <x:v>152 / 148</x:v>
      </x:c>
      <x:c r="AR15" s="20"/>
      <x:c r="AS15" s="20" t="str">
        <x:v>L</x:v>
      </x:c>
      <x:c r="AT15" s="20"/>
      <x:c r="AU15" s="19" t="str">
        <x:v>152/148 L</x:v>
      </x:c>
      <x:c r="AV15" s="19" t="str">
        <x:v>verified</x:v>
      </x:c>
      <x:c r="AW15" s="44" t="n">
        <x:v>950</x:v>
      </x:c>
      <x:c r="AX15" s="19" t="n">
        <x:v>37</x:v>
      </x:c>
      <x:c r="AY15" s="42" t="n">
        <x:v>37.4</x:v>
      </x:c>
      <x:c r="AZ15" s="44" t="n">
        <x:v>313</x:v>
      </x:c>
      <x:c r="BA15" s="19" t="n">
        <x:v>12</x:v>
      </x:c>
      <x:c r="BB15" s="42" t="n">
        <x:v>12.32</x:v>
      </x:c>
      <x:c r="BC15" s="20" t="str">
        <x:v>["drive"]</x:v>
      </x:c>
      <x:c r="BD15" s="20" t="str">
        <x:v>["long-haul"]</x:v>
      </x:c>
      <x:c r="BE15" s="20" t="str">
        <x:v>["high-mileage","wet-grip","heavy-load"]</x:v>
      </x:c>
      <x:c r="BF15" s="20" t="str">
        <x:v>tbr</x:v>
      </x:c>
      <x:c r="BG15" s="20" t="str">
        <x:v>BIZON-MODEL-DLD816</x:v>
      </x:c>
      <x:c r="BH15" s="19" t="str">
        <x:v>DOUBLESTAR COMBODIA TBR CATALOGUE.pdf</x:v>
      </x:c>
      <x:c r="BI15" s="19" t="n">
        <x:v>4</x:v>
      </x:c>
      <x:c r="BJ15" s="19" t="n">
        <x:v>3</x:v>
      </x:c>
      <x:c r="BK15" s="19" t="str">
        <x:v>verified</x:v>
      </x:c>
      <x:c r="BL15" s="20" t="str">
        <x:v>[]</x:v>
      </x:c>
      <x:c r="BM15" s="31" t="b">
        <x:v>0</x:v>
      </x:c>
      <x:c r="BN15" s="20" t="str">
        <x:v>Грузовая шина BIZON DLD816 для магистральной эксплуатации.</x:v>
      </x:c>
      <x:c r="BO15" s="20" t="str">
        <x:v>Модель BIZON DLD816. Позиция установки по каталогу: Drive. Основные заявленные свойства: Высокий пробег; Сцепление на мокрой дороге; Высокая грузоподъёмность.</x:v>
      </x:c>
    </x:row>
    <x:row r="16">
      <x:c r="A16" s="18" t="str">
        <x:v>BIZON-VAR-DLD816-29560R225-16PR</x:v>
      </x:c>
      <x:c r="B16" s="18" t="str">
        <x:v>BIZON-MODEL-DLD816</x:v>
      </x:c>
      <x:c r="C16" s="18" t="str">
        <x:v>BIZON</x:v>
      </x:c>
      <x:c r="D16" s="19" t="str">
        <x:v>DOUBLESTAR</x:v>
      </x:c>
      <x:c r="E16" s="18" t="str">
        <x:v>TBR</x:v>
      </x:c>
      <x:c r="F16" s="18" t="str">
        <x:v>DLD816</x:v>
      </x:c>
      <x:c r="G16" s="18" t="str">
        <x:v>dld816</x:v>
      </x:c>
      <x:c r="H16" s="18" t="str">
        <x:v>BIZON DLD816</x:v>
      </x:c>
      <x:c r="I16" s="18" t="str">
        <x:v>draft</x:v>
      </x:c>
      <x:c r="J16" s="19" t="str">
        <x:v>verified</x:v>
      </x:c>
      <x:c r="K16" s="19" t="str">
        <x:v>295/60R22.5</x:v>
      </x:c>
      <x:c r="L16" s="18" t="str">
        <x:v>295/60R22.5</x:v>
      </x:c>
      <x:c r="M16" s="18" t="str">
        <x:v>metric</x:v>
      </x:c>
      <x:c r="N16" s="39" t="n">
        <x:v>295</x:v>
      </x:c>
      <x:c r="O16" s="39"/>
      <x:c r="P16" s="40" t="n">
        <x:v>60</x:v>
      </x:c>
      <x:c r="Q16" s="18" t="str">
        <x:v>R</x:v>
      </x:c>
      <x:c r="R16" s="39" t="n">
        <x:v>22.5</x:v>
      </x:c>
      <x:c r="S16" s="18" t="n">
        <x:v>16</x:v>
      </x:c>
      <x:c r="T16" s="39" t="n">
        <x:v>18</x:v>
      </x:c>
      <x:c r="U16" s="41" t="n">
        <x:v>23</x:v>
      </x:c>
      <x:c r="V16" s="39" t="n">
        <x:v>9</x:v>
      </x:c>
      <x:c r="W16" s="19" t="n">
        <x:v>900</x:v>
      </x:c>
      <x:c r="X16" s="19" t="n">
        <x:v>900</x:v>
      </x:c>
      <x:c r="Y16" s="19" t="str">
        <x:v>PSI</x:v>
      </x:c>
      <x:c r="Z16" s="42" t="n">
        <x:v>900</x:v>
      </x:c>
      <x:c r="AA16" s="42" t="n">
        <x:v>900</x:v>
      </x:c>
      <x:c r="AB16" s="42" t="n">
        <x:v>9</x:v>
      </x:c>
      <x:c r="AC16" s="42" t="n">
        <x:v>9</x:v>
      </x:c>
      <x:c r="AD16" s="42" t="n">
        <x:v>130.5</x:v>
      </x:c>
      <x:c r="AE16" s="42" t="n">
        <x:v>130.5</x:v>
      </x:c>
      <x:c r="AF16" s="19" t="str">
        <x:v>verified</x:v>
      </x:c>
      <x:c r="AG16" s="19" t="n">
        <x:v>3350</x:v>
      </x:c>
      <x:c r="AH16" s="19" t="n">
        <x:v>3075</x:v>
      </x:c>
      <x:c r="AI16" s="19" t="str">
        <x:v>LBS</x:v>
      </x:c>
      <x:c r="AJ16" s="42" t="n">
        <x:v>3350</x:v>
      </x:c>
      <x:c r="AK16" s="42" t="n">
        <x:v>3075</x:v>
      </x:c>
      <x:c r="AL16" s="42" t="n">
        <x:v>7385</x:v>
      </x:c>
      <x:c r="AM16" s="42" t="n">
        <x:v>6779</x:v>
      </x:c>
      <x:c r="AN16" s="19" t="str">
        <x:v>verified</x:v>
      </x:c>
      <x:c r="AO16" s="18" t="n">
        <x:v>150</x:v>
      </x:c>
      <x:c r="AP16" s="18" t="n">
        <x:v>147</x:v>
      </x:c>
      <x:c r="AQ16" s="19" t="str">
        <x:v>150 / 147</x:v>
      </x:c>
      <x:c r="AR16" s="18"/>
      <x:c r="AS16" s="18" t="str">
        <x:v>K</x:v>
      </x:c>
      <x:c r="AT16" s="18"/>
      <x:c r="AU16" s="19" t="str">
        <x:v>150/147 K</x:v>
      </x:c>
      <x:c r="AV16" s="19" t="str">
        <x:v>verified</x:v>
      </x:c>
      <x:c r="AW16" s="39" t="n">
        <x:v>926</x:v>
      </x:c>
      <x:c r="AX16" s="19" t="n">
        <x:v>36</x:v>
      </x:c>
      <x:c r="AY16" s="42" t="n">
        <x:v>36.46</x:v>
      </x:c>
      <x:c r="AZ16" s="39" t="n">
        <x:v>292</x:v>
      </x:c>
      <x:c r="BA16" s="19" t="n">
        <x:v>11</x:v>
      </x:c>
      <x:c r="BB16" s="42" t="n">
        <x:v>11.5</x:v>
      </x:c>
      <x:c r="BC16" s="18" t="str">
        <x:v>["drive"]</x:v>
      </x:c>
      <x:c r="BD16" s="18" t="str">
        <x:v>["long-haul"]</x:v>
      </x:c>
      <x:c r="BE16" s="18" t="str">
        <x:v>["high-mileage","wet-grip","heavy-load"]</x:v>
      </x:c>
      <x:c r="BF16" s="18" t="str">
        <x:v>tbr</x:v>
      </x:c>
      <x:c r="BG16" s="18" t="str">
        <x:v>BIZON-MODEL-DLD816</x:v>
      </x:c>
      <x:c r="BH16" s="19" t="str">
        <x:v>DOUBLESTAR COMBODIA TBR CATALOGUE.pdf</x:v>
      </x:c>
      <x:c r="BI16" s="19" t="n">
        <x:v>4</x:v>
      </x:c>
      <x:c r="BJ16" s="19" t="n">
        <x:v>4</x:v>
      </x:c>
      <x:c r="BK16" s="19" t="str">
        <x:v>verified</x:v>
      </x:c>
      <x:c r="BL16" s="18" t="str">
        <x:v>[]</x:v>
      </x:c>
      <x:c r="BM16" s="28" t="b">
        <x:v>0</x:v>
      </x:c>
      <x:c r="BN16" s="18" t="str">
        <x:v>Грузовая шина BIZON DLD816 для магистральной эксплуатации.</x:v>
      </x:c>
      <x:c r="BO16" s="18" t="str">
        <x:v>Модель BIZON DLD816. Позиция установки по каталогу: Drive. Основные заявленные свойства: Высокий пробег; Сцепление на мокрой дороге; Высокая грузоподъёмность.</x:v>
      </x:c>
    </x:row>
    <x:row r="17">
      <x:c r="A17" s="20" t="str">
        <x:v>BIZON-VAR-DLD816-26570R195-18PR</x:v>
      </x:c>
      <x:c r="B17" s="20" t="str">
        <x:v>BIZON-MODEL-DLD816</x:v>
      </x:c>
      <x:c r="C17" s="20" t="str">
        <x:v>BIZON</x:v>
      </x:c>
      <x:c r="D17" s="19" t="str">
        <x:v>DOUBLESTAR</x:v>
      </x:c>
      <x:c r="E17" s="20" t="str">
        <x:v>TBR</x:v>
      </x:c>
      <x:c r="F17" s="20" t="str">
        <x:v>DLD816</x:v>
      </x:c>
      <x:c r="G17" s="20" t="str">
        <x:v>dld816</x:v>
      </x:c>
      <x:c r="H17" s="20" t="str">
        <x:v>BIZON DLD816</x:v>
      </x:c>
      <x:c r="I17" s="20" t="str">
        <x:v>draft</x:v>
      </x:c>
      <x:c r="J17" s="19" t="str">
        <x:v>verified</x:v>
      </x:c>
      <x:c r="K17" s="19" t="str">
        <x:v>265/70R19.5</x:v>
      </x:c>
      <x:c r="L17" s="20" t="str">
        <x:v>265/70R19.5</x:v>
      </x:c>
      <x:c r="M17" s="20" t="str">
        <x:v>metric</x:v>
      </x:c>
      <x:c r="N17" s="44" t="n">
        <x:v>265</x:v>
      </x:c>
      <x:c r="O17" s="44"/>
      <x:c r="P17" s="45" t="n">
        <x:v>70</x:v>
      </x:c>
      <x:c r="Q17" s="20" t="str">
        <x:v>R</x:v>
      </x:c>
      <x:c r="R17" s="44" t="n">
        <x:v>19.5</x:v>
      </x:c>
      <x:c r="S17" s="20" t="n">
        <x:v>18</x:v>
      </x:c>
      <x:c r="T17" s="44" t="n">
        <x:v>14</x:v>
      </x:c>
      <x:c r="U17" s="41" t="n">
        <x:v>18</x:v>
      </x:c>
      <x:c r="V17" s="44" t="n">
        <x:v>7.5</x:v>
      </x:c>
      <x:c r="W17" s="19" t="n">
        <x:v>850</x:v>
      </x:c>
      <x:c r="X17" s="19" t="n">
        <x:v>850</x:v>
      </x:c>
      <x:c r="Y17" s="19" t="str">
        <x:v>PSI</x:v>
      </x:c>
      <x:c r="Z17" s="42" t="n">
        <x:v>850</x:v>
      </x:c>
      <x:c r="AA17" s="42" t="n">
        <x:v>850</x:v>
      </x:c>
      <x:c r="AB17" s="42" t="n">
        <x:v>8.5</x:v>
      </x:c>
      <x:c r="AC17" s="42" t="n">
        <x:v>8.5</x:v>
      </x:c>
      <x:c r="AD17" s="42" t="n">
        <x:v>123.3</x:v>
      </x:c>
      <x:c r="AE17" s="42" t="n">
        <x:v>123.3</x:v>
      </x:c>
      <x:c r="AF17" s="19" t="str">
        <x:v>verified</x:v>
      </x:c>
      <x:c r="AG17" s="19" t="n">
        <x:v>2725</x:v>
      </x:c>
      <x:c r="AH17" s="19" t="n">
        <x:v>2575</x:v>
      </x:c>
      <x:c r="AI17" s="19" t="str">
        <x:v>LBS</x:v>
      </x:c>
      <x:c r="AJ17" s="42" t="n">
        <x:v>2725</x:v>
      </x:c>
      <x:c r="AK17" s="42" t="n">
        <x:v>2575</x:v>
      </x:c>
      <x:c r="AL17" s="42" t="n">
        <x:v>6008</x:v>
      </x:c>
      <x:c r="AM17" s="42" t="n">
        <x:v>5677</x:v>
      </x:c>
      <x:c r="AN17" s="19" t="str">
        <x:v>verified</x:v>
      </x:c>
      <x:c r="AO17" s="20" t="n">
        <x:v>143</x:v>
      </x:c>
      <x:c r="AP17" s="20" t="n">
        <x:v>141</x:v>
      </x:c>
      <x:c r="AQ17" s="19" t="str">
        <x:v>143 / 141</x:v>
      </x:c>
      <x:c r="AR17" s="20"/>
      <x:c r="AS17" s="20" t="str">
        <x:v>L</x:v>
      </x:c>
      <x:c r="AT17" s="20"/>
      <x:c r="AU17" s="19" t="str">
        <x:v>143/141 L</x:v>
      </x:c>
      <x:c r="AV17" s="19" t="str">
        <x:v>verified</x:v>
      </x:c>
      <x:c r="AW17" s="44" t="n">
        <x:v>867</x:v>
      </x:c>
      <x:c r="AX17" s="19" t="n">
        <x:v>34</x:v>
      </x:c>
      <x:c r="AY17" s="42" t="n">
        <x:v>34.13</x:v>
      </x:c>
      <x:c r="AZ17" s="44" t="n">
        <x:v>262</x:v>
      </x:c>
      <x:c r="BA17" s="19" t="n">
        <x:v>10</x:v>
      </x:c>
      <x:c r="BB17" s="42" t="n">
        <x:v>10.31</x:v>
      </x:c>
      <x:c r="BC17" s="20" t="str">
        <x:v>["drive"]</x:v>
      </x:c>
      <x:c r="BD17" s="20" t="str">
        <x:v>["long-haul"]</x:v>
      </x:c>
      <x:c r="BE17" s="20" t="str">
        <x:v>["high-mileage","wet-grip","heavy-load"]</x:v>
      </x:c>
      <x:c r="BF17" s="20" t="str">
        <x:v>tbr</x:v>
      </x:c>
      <x:c r="BG17" s="20" t="str">
        <x:v>BIZON-MODEL-DLD816</x:v>
      </x:c>
      <x:c r="BH17" s="19" t="str">
        <x:v>DOUBLESTAR COMBODIA TBR CATALOGUE.pdf</x:v>
      </x:c>
      <x:c r="BI17" s="19" t="n">
        <x:v>4</x:v>
      </x:c>
      <x:c r="BJ17" s="19" t="n">
        <x:v>5</x:v>
      </x:c>
      <x:c r="BK17" s="19" t="str">
        <x:v>verified</x:v>
      </x:c>
      <x:c r="BL17" s="20" t="str">
        <x:v>[]</x:v>
      </x:c>
      <x:c r="BM17" s="31" t="b">
        <x:v>0</x:v>
      </x:c>
      <x:c r="BN17" s="20" t="str">
        <x:v>Грузовая шина BIZON DLD816 для магистральной эксплуатации.</x:v>
      </x:c>
      <x:c r="BO17" s="20" t="str">
        <x:v>Модель BIZON DLD816. Позиция установки по каталогу: Drive. Основные заявленные свойства: Высокий пробег; Сцепление на мокрой дороге; Высокая грузоподъёмность.</x:v>
      </x:c>
    </x:row>
    <x:row r="18">
      <x:c r="A18" s="18" t="str">
        <x:v>BIZON-VAR-DLD816-24570R195-16PR</x:v>
      </x:c>
      <x:c r="B18" s="18" t="str">
        <x:v>BIZON-MODEL-DLD816</x:v>
      </x:c>
      <x:c r="C18" s="18" t="str">
        <x:v>BIZON</x:v>
      </x:c>
      <x:c r="D18" s="19" t="str">
        <x:v>DOUBLESTAR</x:v>
      </x:c>
      <x:c r="E18" s="18" t="str">
        <x:v>TBR</x:v>
      </x:c>
      <x:c r="F18" s="18" t="str">
        <x:v>DLD816</x:v>
      </x:c>
      <x:c r="G18" s="18" t="str">
        <x:v>dld816</x:v>
      </x:c>
      <x:c r="H18" s="18" t="str">
        <x:v>BIZON DLD816</x:v>
      </x:c>
      <x:c r="I18" s="18" t="str">
        <x:v>draft</x:v>
      </x:c>
      <x:c r="J18" s="19" t="str">
        <x:v>verified</x:v>
      </x:c>
      <x:c r="K18" s="19" t="str">
        <x:v>245/70R19.5</x:v>
      </x:c>
      <x:c r="L18" s="18" t="str">
        <x:v>245/70R19.5</x:v>
      </x:c>
      <x:c r="M18" s="18" t="str">
        <x:v>metric</x:v>
      </x:c>
      <x:c r="N18" s="39" t="n">
        <x:v>245</x:v>
      </x:c>
      <x:c r="O18" s="39"/>
      <x:c r="P18" s="40" t="n">
        <x:v>70</x:v>
      </x:c>
      <x:c r="Q18" s="18" t="str">
        <x:v>R</x:v>
      </x:c>
      <x:c r="R18" s="39" t="n">
        <x:v>19.5</x:v>
      </x:c>
      <x:c r="S18" s="18" t="n">
        <x:v>16</x:v>
      </x:c>
      <x:c r="T18" s="39" t="n">
        <x:v>15.5</x:v>
      </x:c>
      <x:c r="U18" s="41" t="n">
        <x:v>20</x:v>
      </x:c>
      <x:c r="V18" s="39" t="n">
        <x:v>7.5</x:v>
      </x:c>
      <x:c r="W18" s="19" t="n">
        <x:v>825</x:v>
      </x:c>
      <x:c r="X18" s="19" t="n">
        <x:v>825</x:v>
      </x:c>
      <x:c r="Y18" s="19" t="str">
        <x:v>PSI</x:v>
      </x:c>
      <x:c r="Z18" s="42" t="n">
        <x:v>825</x:v>
      </x:c>
      <x:c r="AA18" s="42" t="n">
        <x:v>825</x:v>
      </x:c>
      <x:c r="AB18" s="42" t="n">
        <x:v>8.3</x:v>
      </x:c>
      <x:c r="AC18" s="42" t="n">
        <x:v>8.3</x:v>
      </x:c>
      <x:c r="AD18" s="42" t="n">
        <x:v>119.7</x:v>
      </x:c>
      <x:c r="AE18" s="42" t="n">
        <x:v>119.7</x:v>
      </x:c>
      <x:c r="AF18" s="19" t="str">
        <x:v>verified</x:v>
      </x:c>
      <x:c r="AG18" s="19" t="n">
        <x:v>2240</x:v>
      </x:c>
      <x:c r="AH18" s="19" t="n">
        <x:v>2120</x:v>
      </x:c>
      <x:c r="AI18" s="19" t="str">
        <x:v>LBS</x:v>
      </x:c>
      <x:c r="AJ18" s="42" t="n">
        <x:v>2240</x:v>
      </x:c>
      <x:c r="AK18" s="42" t="n">
        <x:v>2120</x:v>
      </x:c>
      <x:c r="AL18" s="42" t="n">
        <x:v>4938</x:v>
      </x:c>
      <x:c r="AM18" s="42" t="n">
        <x:v>4674</x:v>
      </x:c>
      <x:c r="AN18" s="19" t="str">
        <x:v>verified</x:v>
      </x:c>
      <x:c r="AO18" s="18" t="n">
        <x:v>136</x:v>
      </x:c>
      <x:c r="AP18" s="18" t="n">
        <x:v>134</x:v>
      </x:c>
      <x:c r="AQ18" s="19" t="str">
        <x:v>136 / 134</x:v>
      </x:c>
      <x:c r="AR18" s="18"/>
      <x:c r="AS18" s="18" t="str">
        <x:v>L</x:v>
      </x:c>
      <x:c r="AT18" s="18"/>
      <x:c r="AU18" s="19" t="str">
        <x:v>136/134 L</x:v>
      </x:c>
      <x:c r="AV18" s="19" t="str">
        <x:v>verified</x:v>
      </x:c>
      <x:c r="AW18" s="39" t="n">
        <x:v>839</x:v>
      </x:c>
      <x:c r="AX18" s="19" t="n">
        <x:v>33</x:v>
      </x:c>
      <x:c r="AY18" s="42" t="n">
        <x:v>33.03</x:v>
      </x:c>
      <x:c r="AZ18" s="39" t="n">
        <x:v>248</x:v>
      </x:c>
      <x:c r="BA18" s="19" t="n">
        <x:v>10</x:v>
      </x:c>
      <x:c r="BB18" s="42" t="n">
        <x:v>9.76</x:v>
      </x:c>
      <x:c r="BC18" s="18" t="str">
        <x:v>["drive"]</x:v>
      </x:c>
      <x:c r="BD18" s="18" t="str">
        <x:v>["long-haul"]</x:v>
      </x:c>
      <x:c r="BE18" s="18" t="str">
        <x:v>["high-mileage","wet-grip","heavy-load"]</x:v>
      </x:c>
      <x:c r="BF18" s="18" t="str">
        <x:v>tbr</x:v>
      </x:c>
      <x:c r="BG18" s="18" t="str">
        <x:v>BIZON-MODEL-DLD816</x:v>
      </x:c>
      <x:c r="BH18" s="19" t="str">
        <x:v>DOUBLESTAR COMBODIA TBR CATALOGUE.pdf</x:v>
      </x:c>
      <x:c r="BI18" s="19" t="n">
        <x:v>4</x:v>
      </x:c>
      <x:c r="BJ18" s="19" t="n">
        <x:v>6</x:v>
      </x:c>
      <x:c r="BK18" s="19" t="str">
        <x:v>verified</x:v>
      </x:c>
      <x:c r="BL18" s="18" t="str">
        <x:v>[]</x:v>
      </x:c>
      <x:c r="BM18" s="28" t="b">
        <x:v>0</x:v>
      </x:c>
      <x:c r="BN18" s="18" t="str">
        <x:v>Грузовая шина BIZON DLD816 для магистральной эксплуатации.</x:v>
      </x:c>
      <x:c r="BO18" s="18" t="str">
        <x:v>Модель BIZON DLD816. Позиция установки по каталогу: Drive. Основные заявленные свойства: Высокий пробег; Сцепление на мокрой дороге; Высокая грузоподъёмность.</x:v>
      </x:c>
    </x:row>
    <x:row r="19">
      <x:c r="A19" s="20" t="str">
        <x:v>BIZON-VAR-DLD816-23575R175-18PR</x:v>
      </x:c>
      <x:c r="B19" s="20" t="str">
        <x:v>BIZON-MODEL-DLD816</x:v>
      </x:c>
      <x:c r="C19" s="20" t="str">
        <x:v>BIZON</x:v>
      </x:c>
      <x:c r="D19" s="19" t="str">
        <x:v>DOUBLESTAR</x:v>
      </x:c>
      <x:c r="E19" s="20" t="str">
        <x:v>TBR</x:v>
      </x:c>
      <x:c r="F19" s="20" t="str">
        <x:v>DLD816</x:v>
      </x:c>
      <x:c r="G19" s="20" t="str">
        <x:v>dld816</x:v>
      </x:c>
      <x:c r="H19" s="20" t="str">
        <x:v>BIZON DLD816</x:v>
      </x:c>
      <x:c r="I19" s="20" t="str">
        <x:v>draft</x:v>
      </x:c>
      <x:c r="J19" s="19" t="str">
        <x:v>verified</x:v>
      </x:c>
      <x:c r="K19" s="19" t="str">
        <x:v>235/75R17.5</x:v>
      </x:c>
      <x:c r="L19" s="20" t="str">
        <x:v>235/75R17.5</x:v>
      </x:c>
      <x:c r="M19" s="20" t="str">
        <x:v>metric</x:v>
      </x:c>
      <x:c r="N19" s="44" t="n">
        <x:v>235</x:v>
      </x:c>
      <x:c r="O19" s="44"/>
      <x:c r="P19" s="45" t="n">
        <x:v>75</x:v>
      </x:c>
      <x:c r="Q19" s="20" t="str">
        <x:v>R</x:v>
      </x:c>
      <x:c r="R19" s="44" t="n">
        <x:v>17.5</x:v>
      </x:c>
      <x:c r="S19" s="20" t="n">
        <x:v>18</x:v>
      </x:c>
      <x:c r="T19" s="44" t="n">
        <x:v>13</x:v>
      </x:c>
      <x:c r="U19" s="41" t="n">
        <x:v>16</x:v>
      </x:c>
      <x:c r="V19" s="44" t="n">
        <x:v>6.75</x:v>
      </x:c>
      <x:c r="W19" s="19" t="n">
        <x:v>875</x:v>
      </x:c>
      <x:c r="X19" s="19" t="n">
        <x:v>875</x:v>
      </x:c>
      <x:c r="Y19" s="19" t="str">
        <x:v>PSI</x:v>
      </x:c>
      <x:c r="Z19" s="42" t="n">
        <x:v>875</x:v>
      </x:c>
      <x:c r="AA19" s="42" t="n">
        <x:v>875</x:v>
      </x:c>
      <x:c r="AB19" s="42" t="n">
        <x:v>8.8</x:v>
      </x:c>
      <x:c r="AC19" s="42" t="n">
        <x:v>8.8</x:v>
      </x:c>
      <x:c r="AD19" s="42" t="n">
        <x:v>126.9</x:v>
      </x:c>
      <x:c r="AE19" s="42" t="n">
        <x:v>126.9</x:v>
      </x:c>
      <x:c r="AF19" s="19" t="str">
        <x:v>verified</x:v>
      </x:c>
      <x:c r="AG19" s="19" t="n">
        <x:v>2725</x:v>
      </x:c>
      <x:c r="AH19" s="19" t="n">
        <x:v>2575</x:v>
      </x:c>
      <x:c r="AI19" s="19" t="str">
        <x:v>LBS</x:v>
      </x:c>
      <x:c r="AJ19" s="42" t="n">
        <x:v>2725</x:v>
      </x:c>
      <x:c r="AK19" s="42" t="n">
        <x:v>2575</x:v>
      </x:c>
      <x:c r="AL19" s="42" t="n">
        <x:v>6008</x:v>
      </x:c>
      <x:c r="AM19" s="42" t="n">
        <x:v>5677</x:v>
      </x:c>
      <x:c r="AN19" s="19" t="str">
        <x:v>verified</x:v>
      </x:c>
      <x:c r="AO19" s="20" t="n">
        <x:v>143</x:v>
      </x:c>
      <x:c r="AP19" s="20" t="n">
        <x:v>141</x:v>
      </x:c>
      <x:c r="AQ19" s="19" t="str">
        <x:v>143 / 141</x:v>
      </x:c>
      <x:c r="AR19" s="20"/>
      <x:c r="AS19" s="20" t="str">
        <x:v>J</x:v>
      </x:c>
      <x:c r="AT19" s="20"/>
      <x:c r="AU19" s="19" t="str">
        <x:v>143/141 J</x:v>
      </x:c>
      <x:c r="AV19" s="19" t="str">
        <x:v>verified</x:v>
      </x:c>
      <x:c r="AW19" s="44" t="n">
        <x:v>797</x:v>
      </x:c>
      <x:c r="AX19" s="19" t="n">
        <x:v>31</x:v>
      </x:c>
      <x:c r="AY19" s="42" t="n">
        <x:v>31.38</x:v>
      </x:c>
      <x:c r="AZ19" s="44" t="n">
        <x:v>233</x:v>
      </x:c>
      <x:c r="BA19" s="19" t="n">
        <x:v>9</x:v>
      </x:c>
      <x:c r="BB19" s="42" t="n">
        <x:v>9.17</x:v>
      </x:c>
      <x:c r="BC19" s="20" t="str">
        <x:v>["drive"]</x:v>
      </x:c>
      <x:c r="BD19" s="20" t="str">
        <x:v>["long-haul"]</x:v>
      </x:c>
      <x:c r="BE19" s="20" t="str">
        <x:v>["high-mileage","wet-grip","heavy-load"]</x:v>
      </x:c>
      <x:c r="BF19" s="20" t="str">
        <x:v>tbr</x:v>
      </x:c>
      <x:c r="BG19" s="20" t="str">
        <x:v>BIZON-MODEL-DLD816</x:v>
      </x:c>
      <x:c r="BH19" s="19" t="str">
        <x:v>DOUBLESTAR COMBODIA TBR CATALOGUE.pdf</x:v>
      </x:c>
      <x:c r="BI19" s="19" t="n">
        <x:v>4</x:v>
      </x:c>
      <x:c r="BJ19" s="19" t="n">
        <x:v>7</x:v>
      </x:c>
      <x:c r="BK19" s="19" t="str">
        <x:v>verified</x:v>
      </x:c>
      <x:c r="BL19" s="20" t="str">
        <x:v>[]</x:v>
      </x:c>
      <x:c r="BM19" s="31" t="b">
        <x:v>0</x:v>
      </x:c>
      <x:c r="BN19" s="20" t="str">
        <x:v>Грузовая шина BIZON DLD816 для магистральной эксплуатации.</x:v>
      </x:c>
      <x:c r="BO19" s="20" t="str">
        <x:v>Модель BIZON DLD816. Позиция установки по каталогу: Drive. Основные заявленные свойства: Высокий пробег; Сцепление на мокрой дороге; Высокая грузоподъёмность.</x:v>
      </x:c>
    </x:row>
    <x:row r="20">
      <x:c r="A20" s="18" t="str">
        <x:v>BIZON-VAR-DLD816-22575R175-16PR</x:v>
      </x:c>
      <x:c r="B20" s="18" t="str">
        <x:v>BIZON-MODEL-DLD816</x:v>
      </x:c>
      <x:c r="C20" s="18" t="str">
        <x:v>BIZON</x:v>
      </x:c>
      <x:c r="D20" s="19" t="str">
        <x:v>DOUBLESTAR</x:v>
      </x:c>
      <x:c r="E20" s="18" t="str">
        <x:v>TBR</x:v>
      </x:c>
      <x:c r="F20" s="18" t="str">
        <x:v>DLD816</x:v>
      </x:c>
      <x:c r="G20" s="18" t="str">
        <x:v>dld816</x:v>
      </x:c>
      <x:c r="H20" s="18" t="str">
        <x:v>BIZON DLD816</x:v>
      </x:c>
      <x:c r="I20" s="18" t="str">
        <x:v>draft</x:v>
      </x:c>
      <x:c r="J20" s="19" t="str">
        <x:v>verified</x:v>
      </x:c>
      <x:c r="K20" s="19" t="str">
        <x:v>225/75R17.5</x:v>
      </x:c>
      <x:c r="L20" s="18" t="str">
        <x:v>225/75R17.5</x:v>
      </x:c>
      <x:c r="M20" s="18" t="str">
        <x:v>metric</x:v>
      </x:c>
      <x:c r="N20" s="39" t="n">
        <x:v>225</x:v>
      </x:c>
      <x:c r="O20" s="39"/>
      <x:c r="P20" s="40" t="n">
        <x:v>75</x:v>
      </x:c>
      <x:c r="Q20" s="18" t="str">
        <x:v>R</x:v>
      </x:c>
      <x:c r="R20" s="39" t="n">
        <x:v>17.5</x:v>
      </x:c>
      <x:c r="S20" s="18" t="n">
        <x:v>16</x:v>
      </x:c>
      <x:c r="T20" s="39" t="n">
        <x:v>13</x:v>
      </x:c>
      <x:c r="U20" s="41" t="n">
        <x:v>16</x:v>
      </x:c>
      <x:c r="V20" s="39" t="n">
        <x:v>6.75</x:v>
      </x:c>
      <x:c r="W20" s="19" t="n">
        <x:v>725</x:v>
      </x:c>
      <x:c r="X20" s="19" t="n">
        <x:v>725</x:v>
      </x:c>
      <x:c r="Y20" s="19" t="str">
        <x:v>PSI</x:v>
      </x:c>
      <x:c r="Z20" s="42" t="n">
        <x:v>725</x:v>
      </x:c>
      <x:c r="AA20" s="42" t="n">
        <x:v>725</x:v>
      </x:c>
      <x:c r="AB20" s="42" t="n">
        <x:v>7.3</x:v>
      </x:c>
      <x:c r="AC20" s="42" t="n">
        <x:v>7.3</x:v>
      </x:c>
      <x:c r="AD20" s="42" t="n">
        <x:v>105.2</x:v>
      </x:c>
      <x:c r="AE20" s="42" t="n">
        <x:v>105.2</x:v>
      </x:c>
      <x:c r="AF20" s="19" t="str">
        <x:v>verified</x:v>
      </x:c>
      <x:c r="AG20" s="19" t="n">
        <x:v>1850</x:v>
      </x:c>
      <x:c r="AH20" s="19" t="n">
        <x:v>1750</x:v>
      </x:c>
      <x:c r="AI20" s="19" t="str">
        <x:v>LBS</x:v>
      </x:c>
      <x:c r="AJ20" s="42" t="n">
        <x:v>1850</x:v>
      </x:c>
      <x:c r="AK20" s="42" t="n">
        <x:v>1750</x:v>
      </x:c>
      <x:c r="AL20" s="42" t="n">
        <x:v>4079</x:v>
      </x:c>
      <x:c r="AM20" s="42" t="n">
        <x:v>3858</x:v>
      </x:c>
      <x:c r="AN20" s="19" t="str">
        <x:v>verified</x:v>
      </x:c>
      <x:c r="AO20" s="18" t="n">
        <x:v>129</x:v>
      </x:c>
      <x:c r="AP20" s="18" t="n">
        <x:v>127</x:v>
      </x:c>
      <x:c r="AQ20" s="19" t="str">
        <x:v>129 / 127</x:v>
      </x:c>
      <x:c r="AR20" s="18"/>
      <x:c r="AS20" s="18" t="str">
        <x:v>L</x:v>
      </x:c>
      <x:c r="AT20" s="18"/>
      <x:c r="AU20" s="19" t="str">
        <x:v>129/127 L</x:v>
      </x:c>
      <x:c r="AV20" s="19" t="str">
        <x:v>verified</x:v>
      </x:c>
      <x:c r="AW20" s="39" t="n">
        <x:v>783</x:v>
      </x:c>
      <x:c r="AX20" s="19" t="n">
        <x:v>31</x:v>
      </x:c>
      <x:c r="AY20" s="42" t="n">
        <x:v>30.83</x:v>
      </x:c>
      <x:c r="AZ20" s="39" t="n">
        <x:v>226</x:v>
      </x:c>
      <x:c r="BA20" s="19" t="n">
        <x:v>9</x:v>
      </x:c>
      <x:c r="BB20" s="42" t="n">
        <x:v>8.9</x:v>
      </x:c>
      <x:c r="BC20" s="18" t="str">
        <x:v>["drive"]</x:v>
      </x:c>
      <x:c r="BD20" s="18" t="str">
        <x:v>["long-haul"]</x:v>
      </x:c>
      <x:c r="BE20" s="18" t="str">
        <x:v>["high-mileage","wet-grip","heavy-load"]</x:v>
      </x:c>
      <x:c r="BF20" s="18" t="str">
        <x:v>tbr</x:v>
      </x:c>
      <x:c r="BG20" s="18" t="str">
        <x:v>BIZON-MODEL-DLD816</x:v>
      </x:c>
      <x:c r="BH20" s="19" t="str">
        <x:v>DOUBLESTAR COMBODIA TBR CATALOGUE.pdf</x:v>
      </x:c>
      <x:c r="BI20" s="19" t="n">
        <x:v>4</x:v>
      </x:c>
      <x:c r="BJ20" s="19" t="n">
        <x:v>8</x:v>
      </x:c>
      <x:c r="BK20" s="19" t="str">
        <x:v>verified</x:v>
      </x:c>
      <x:c r="BL20" s="18" t="str">
        <x:v>[]</x:v>
      </x:c>
      <x:c r="BM20" s="28" t="b">
        <x:v>0</x:v>
      </x:c>
      <x:c r="BN20" s="18" t="str">
        <x:v>Грузовая шина BIZON DLD816 для магистральной эксплуатации.</x:v>
      </x:c>
      <x:c r="BO20" s="18" t="str">
        <x:v>Модель BIZON DLD816. Позиция установки по каталогу: Drive. Основные заявленные свойства: Высокий пробег; Сцепление на мокрой дороге; Высокая грузоподъёмность.</x:v>
      </x:c>
    </x:row>
    <x:row r="21">
      <x:c r="A21" s="20" t="str">
        <x:v>BIZON-VAR-DLD816-21575R175-16PR</x:v>
      </x:c>
      <x:c r="B21" s="20" t="str">
        <x:v>BIZON-MODEL-DLD816</x:v>
      </x:c>
      <x:c r="C21" s="20" t="str">
        <x:v>BIZON</x:v>
      </x:c>
      <x:c r="D21" s="19" t="str">
        <x:v>DOUBLESTAR</x:v>
      </x:c>
      <x:c r="E21" s="20" t="str">
        <x:v>TBR</x:v>
      </x:c>
      <x:c r="F21" s="20" t="str">
        <x:v>DLD816</x:v>
      </x:c>
      <x:c r="G21" s="20" t="str">
        <x:v>dld816</x:v>
      </x:c>
      <x:c r="H21" s="20" t="str">
        <x:v>BIZON DLD816</x:v>
      </x:c>
      <x:c r="I21" s="20" t="str">
        <x:v>draft</x:v>
      </x:c>
      <x:c r="J21" s="19" t="str">
        <x:v>verified</x:v>
      </x:c>
      <x:c r="K21" s="19" t="str">
        <x:v>215/75R17.5</x:v>
      </x:c>
      <x:c r="L21" s="20" t="str">
        <x:v>215/75R17.5</x:v>
      </x:c>
      <x:c r="M21" s="20" t="str">
        <x:v>metric</x:v>
      </x:c>
      <x:c r="N21" s="44" t="n">
        <x:v>215</x:v>
      </x:c>
      <x:c r="O21" s="44"/>
      <x:c r="P21" s="45" t="n">
        <x:v>75</x:v>
      </x:c>
      <x:c r="Q21" s="20" t="str">
        <x:v>R</x:v>
      </x:c>
      <x:c r="R21" s="44" t="n">
        <x:v>17.5</x:v>
      </x:c>
      <x:c r="S21" s="20" t="n">
        <x:v>16</x:v>
      </x:c>
      <x:c r="T21" s="44" t="n">
        <x:v>15.1</x:v>
      </x:c>
      <x:c r="U21" s="41" t="n">
        <x:v>19</x:v>
      </x:c>
      <x:c r="V21" s="44" t="n">
        <x:v>6</x:v>
      </x:c>
      <x:c r="W21" s="19" t="n">
        <x:v>700</x:v>
      </x:c>
      <x:c r="X21" s="19" t="n">
        <x:v>700</x:v>
      </x:c>
      <x:c r="Y21" s="19" t="str">
        <x:v>PSI</x:v>
      </x:c>
      <x:c r="Z21" s="42" t="n">
        <x:v>700</x:v>
      </x:c>
      <x:c r="AA21" s="42" t="n">
        <x:v>700</x:v>
      </x:c>
      <x:c r="AB21" s="42" t="n">
        <x:v>7</x:v>
      </x:c>
      <x:c r="AC21" s="42" t="n">
        <x:v>7</x:v>
      </x:c>
      <x:c r="AD21" s="42" t="n">
        <x:v>101.5</x:v>
      </x:c>
      <x:c r="AE21" s="42" t="n">
        <x:v>101.5</x:v>
      </x:c>
      <x:c r="AF21" s="19" t="str">
        <x:v>verified</x:v>
      </x:c>
      <x:c r="AG21" s="19" t="n">
        <x:v>1700</x:v>
      </x:c>
      <x:c r="AH21" s="19" t="n">
        <x:v>1600</x:v>
      </x:c>
      <x:c r="AI21" s="19" t="str">
        <x:v>LBS</x:v>
      </x:c>
      <x:c r="AJ21" s="42" t="n">
        <x:v>1700</x:v>
      </x:c>
      <x:c r="AK21" s="42" t="n">
        <x:v>1600</x:v>
      </x:c>
      <x:c r="AL21" s="42" t="n">
        <x:v>3748</x:v>
      </x:c>
      <x:c r="AM21" s="42" t="n">
        <x:v>3527</x:v>
      </x:c>
      <x:c r="AN21" s="19" t="str">
        <x:v>verified</x:v>
      </x:c>
      <x:c r="AO21" s="20" t="n">
        <x:v>126</x:v>
      </x:c>
      <x:c r="AP21" s="20" t="n">
        <x:v>124</x:v>
      </x:c>
      <x:c r="AQ21" s="19" t="str">
        <x:v>126 / 124</x:v>
      </x:c>
      <x:c r="AR21" s="20"/>
      <x:c r="AS21" s="20" t="str">
        <x:v>L</x:v>
      </x:c>
      <x:c r="AT21" s="20"/>
      <x:c r="AU21" s="19" t="str">
        <x:v>126/124 L</x:v>
      </x:c>
      <x:c r="AV21" s="19" t="str">
        <x:v>verified</x:v>
      </x:c>
      <x:c r="AW21" s="44" t="n">
        <x:v>767</x:v>
      </x:c>
      <x:c r="AX21" s="19" t="n">
        <x:v>30</x:v>
      </x:c>
      <x:c r="AY21" s="42" t="n">
        <x:v>30.2</x:v>
      </x:c>
      <x:c r="AZ21" s="44" t="n">
        <x:v>211</x:v>
      </x:c>
      <x:c r="BA21" s="19" t="n">
        <x:v>8</x:v>
      </x:c>
      <x:c r="BB21" s="42" t="n">
        <x:v>8.31</x:v>
      </x:c>
      <x:c r="BC21" s="20" t="str">
        <x:v>["drive"]</x:v>
      </x:c>
      <x:c r="BD21" s="20" t="str">
        <x:v>["long-haul"]</x:v>
      </x:c>
      <x:c r="BE21" s="20" t="str">
        <x:v>["high-mileage","wet-grip","heavy-load"]</x:v>
      </x:c>
      <x:c r="BF21" s="20" t="str">
        <x:v>tbr</x:v>
      </x:c>
      <x:c r="BG21" s="20" t="str">
        <x:v>BIZON-MODEL-DLD816</x:v>
      </x:c>
      <x:c r="BH21" s="19" t="str">
        <x:v>DOUBLESTAR COMBODIA TBR CATALOGUE.pdf</x:v>
      </x:c>
      <x:c r="BI21" s="19" t="n">
        <x:v>4</x:v>
      </x:c>
      <x:c r="BJ21" s="19" t="n">
        <x:v>9</x:v>
      </x:c>
      <x:c r="BK21" s="19" t="str">
        <x:v>verified</x:v>
      </x:c>
      <x:c r="BL21" s="20" t="str">
        <x:v>[]</x:v>
      </x:c>
      <x:c r="BM21" s="31" t="b">
        <x:v>0</x:v>
      </x:c>
      <x:c r="BN21" s="20" t="str">
        <x:v>Грузовая шина BIZON DLD816 для магистральной эксплуатации.</x:v>
      </x:c>
      <x:c r="BO21" s="20" t="str">
        <x:v>Модель BIZON DLD816. Позиция установки по каталогу: Drive. Основные заявленные свойства: Высокий пробег; Сцепление на мокрой дороге; Высокая грузоподъёмность.</x:v>
      </x:c>
    </x:row>
    <x:row r="22">
      <x:c r="A22" s="18" t="str">
        <x:v>BIZON-VAR-DSR08A-31570R225-18PR</x:v>
      </x:c>
      <x:c r="B22" s="18" t="str">
        <x:v>BIZON-MODEL-DSR08A</x:v>
      </x:c>
      <x:c r="C22" s="18" t="str">
        <x:v>BIZON</x:v>
      </x:c>
      <x:c r="D22" s="19" t="str">
        <x:v>DOUBLESTAR</x:v>
      </x:c>
      <x:c r="E22" s="18" t="str">
        <x:v>TBR</x:v>
      </x:c>
      <x:c r="F22" s="18" t="str">
        <x:v>DSR08A</x:v>
      </x:c>
      <x:c r="G22" s="18" t="str">
        <x:v>dsr08a</x:v>
      </x:c>
      <x:c r="H22" s="18" t="str">
        <x:v>BIZON DSR08A</x:v>
      </x:c>
      <x:c r="I22" s="18" t="str">
        <x:v>draft</x:v>
      </x:c>
      <x:c r="J22" s="19" t="str">
        <x:v>verified</x:v>
      </x:c>
      <x:c r="K22" s="19" t="str">
        <x:v>315/70R22.5</x:v>
      </x:c>
      <x:c r="L22" s="18" t="str">
        <x:v>315/70R22.5</x:v>
      </x:c>
      <x:c r="M22" s="18" t="str">
        <x:v>metric</x:v>
      </x:c>
      <x:c r="N22" s="39" t="n">
        <x:v>315</x:v>
      </x:c>
      <x:c r="O22" s="39"/>
      <x:c r="P22" s="40" t="n">
        <x:v>70</x:v>
      </x:c>
      <x:c r="Q22" s="18" t="str">
        <x:v>R</x:v>
      </x:c>
      <x:c r="R22" s="39" t="n">
        <x:v>22.5</x:v>
      </x:c>
      <x:c r="S22" s="18" t="n">
        <x:v>18</x:v>
      </x:c>
      <x:c r="T22" s="39" t="n">
        <x:v>21</x:v>
      </x:c>
      <x:c r="U22" s="41" t="n">
        <x:v>26</x:v>
      </x:c>
      <x:c r="V22" s="39" t="n">
        <x:v>9</x:v>
      </x:c>
      <x:c r="W22" s="19" t="n">
        <x:v>900</x:v>
      </x:c>
      <x:c r="X22" s="19" t="n">
        <x:v>900</x:v>
      </x:c>
      <x:c r="Y22" s="19" t="str">
        <x:v>PSI</x:v>
      </x:c>
      <x:c r="Z22" s="42" t="n">
        <x:v>900</x:v>
      </x:c>
      <x:c r="AA22" s="42" t="n">
        <x:v>900</x:v>
      </x:c>
      <x:c r="AB22" s="42" t="n">
        <x:v>9</x:v>
      </x:c>
      <x:c r="AC22" s="42" t="n">
        <x:v>9</x:v>
      </x:c>
      <x:c r="AD22" s="42" t="n">
        <x:v>130.5</x:v>
      </x:c>
      <x:c r="AE22" s="42" t="n">
        <x:v>130.5</x:v>
      </x:c>
      <x:c r="AF22" s="19" t="str">
        <x:v>verified</x:v>
      </x:c>
      <x:c r="AG22" s="19" t="n">
        <x:v>3750</x:v>
      </x:c>
      <x:c r="AH22" s="19" t="n">
        <x:v>3350</x:v>
      </x:c>
      <x:c r="AI22" s="19" t="str">
        <x:v>LBS</x:v>
      </x:c>
      <x:c r="AJ22" s="42" t="n">
        <x:v>3750</x:v>
      </x:c>
      <x:c r="AK22" s="42" t="n">
        <x:v>3350</x:v>
      </x:c>
      <x:c r="AL22" s="42" t="n">
        <x:v>8267</x:v>
      </x:c>
      <x:c r="AM22" s="42" t="n">
        <x:v>7385</x:v>
      </x:c>
      <x:c r="AN22" s="19" t="str">
        <x:v>verified</x:v>
      </x:c>
      <x:c r="AO22" s="18" t="n">
        <x:v>154</x:v>
      </x:c>
      <x:c r="AP22" s="18" t="n">
        <x:v>150</x:v>
      </x:c>
      <x:c r="AQ22" s="19" t="str">
        <x:v>154 / 150</x:v>
      </x:c>
      <x:c r="AR22" s="18"/>
      <x:c r="AS22" s="18" t="str">
        <x:v>L</x:v>
      </x:c>
      <x:c r="AT22" s="18"/>
      <x:c r="AU22" s="19" t="str">
        <x:v>154/150 L</x:v>
      </x:c>
      <x:c r="AV22" s="19" t="str">
        <x:v>verified</x:v>
      </x:c>
      <x:c r="AW22" s="39" t="n">
        <x:v>1014</x:v>
      </x:c>
      <x:c r="AX22" s="19" t="n">
        <x:v>40</x:v>
      </x:c>
      <x:c r="AY22" s="42" t="n">
        <x:v>39.92</x:v>
      </x:c>
      <x:c r="AZ22" s="39" t="n">
        <x:v>312</x:v>
      </x:c>
      <x:c r="BA22" s="19" t="n">
        <x:v>12</x:v>
      </x:c>
      <x:c r="BB22" s="42" t="n">
        <x:v>12.28</x:v>
      </x:c>
      <x:c r="BC22" s="18" t="str">
        <x:v>["drive"]</x:v>
      </x:c>
      <x:c r="BD22" s="18" t="str">
        <x:v>["long-haul"]</x:v>
      </x:c>
      <x:c r="BE22" s="18" t="str">
        <x:v>["high-mileage","anti-wear","anti-tear","short-braking-distance"]</x:v>
      </x:c>
      <x:c r="BF22" s="18" t="str">
        <x:v>tbr</x:v>
      </x:c>
      <x:c r="BG22" s="18" t="str">
        <x:v>BIZON-MODEL-DSR08A</x:v>
      </x:c>
      <x:c r="BH22" s="19" t="str">
        <x:v>DOUBLESTAR COMBODIA TBR CATALOGUE.pdf</x:v>
      </x:c>
      <x:c r="BI22" s="19" t="n">
        <x:v>4</x:v>
      </x:c>
      <x:c r="BJ22" s="19" t="n">
        <x:v>1</x:v>
      </x:c>
      <x:c r="BK22" s="19" t="str">
        <x:v>verified</x:v>
      </x:c>
      <x:c r="BL22" s="18" t="str">
        <x:v>[]</x:v>
      </x:c>
      <x:c r="BM22" s="28" t="b">
        <x:v>0</x:v>
      </x:c>
      <x:c r="BN22" s="18" t="str">
        <x:v>Грузовая шина BIZON DSR08A для магистральной эксплуатации.</x:v>
      </x:c>
      <x:c r="BO22" s="18" t="str">
        <x:v>Модель BIZON DSR08A. Позиция установки по каталогу: Drive. Основные заявленные свойства: Высокий пробег; Износостойкость; Стойкость к разрывам; Короткий тормозной путь.</x:v>
      </x:c>
    </x:row>
    <x:row r="23">
      <x:c r="A23" s="20" t="str">
        <x:v>BIZON-VAR-DSR08A-31580R225-20PR</x:v>
      </x:c>
      <x:c r="B23" s="20" t="str">
        <x:v>BIZON-MODEL-DSR08A</x:v>
      </x:c>
      <x:c r="C23" s="20" t="str">
        <x:v>BIZON</x:v>
      </x:c>
      <x:c r="D23" s="19" t="str">
        <x:v>DOUBLESTAR</x:v>
      </x:c>
      <x:c r="E23" s="20" t="str">
        <x:v>TBR</x:v>
      </x:c>
      <x:c r="F23" s="20" t="str">
        <x:v>DSR08A</x:v>
      </x:c>
      <x:c r="G23" s="20" t="str">
        <x:v>dsr08a</x:v>
      </x:c>
      <x:c r="H23" s="20" t="str">
        <x:v>BIZON DSR08A</x:v>
      </x:c>
      <x:c r="I23" s="20" t="str">
        <x:v>draft</x:v>
      </x:c>
      <x:c r="J23" s="19" t="str">
        <x:v>verified</x:v>
      </x:c>
      <x:c r="K23" s="19" t="str">
        <x:v>315/80R22.5</x:v>
      </x:c>
      <x:c r="L23" s="20" t="str">
        <x:v>315/80R22.5</x:v>
      </x:c>
      <x:c r="M23" s="20" t="str">
        <x:v>metric</x:v>
      </x:c>
      <x:c r="N23" s="44" t="n">
        <x:v>315</x:v>
      </x:c>
      <x:c r="O23" s="44"/>
      <x:c r="P23" s="45" t="n">
        <x:v>80</x:v>
      </x:c>
      <x:c r="Q23" s="20" t="str">
        <x:v>R</x:v>
      </x:c>
      <x:c r="R23" s="44" t="n">
        <x:v>22.5</x:v>
      </x:c>
      <x:c r="S23" s="20" t="n">
        <x:v>20</x:v>
      </x:c>
      <x:c r="T23" s="44" t="n">
        <x:v>21</x:v>
      </x:c>
      <x:c r="U23" s="41" t="n">
        <x:v>26</x:v>
      </x:c>
      <x:c r="V23" s="44" t="n">
        <x:v>9</x:v>
      </x:c>
      <x:c r="W23" s="19" t="n">
        <x:v>850</x:v>
      </x:c>
      <x:c r="X23" s="19" t="n">
        <x:v>850</x:v>
      </x:c>
      <x:c r="Y23" s="19" t="str">
        <x:v>PSI</x:v>
      </x:c>
      <x:c r="Z23" s="42" t="n">
        <x:v>850</x:v>
      </x:c>
      <x:c r="AA23" s="42" t="n">
        <x:v>850</x:v>
      </x:c>
      <x:c r="AB23" s="42" t="n">
        <x:v>8.5</x:v>
      </x:c>
      <x:c r="AC23" s="42" t="n">
        <x:v>8.5</x:v>
      </x:c>
      <x:c r="AD23" s="42" t="n">
        <x:v>123.3</x:v>
      </x:c>
      <x:c r="AE23" s="42" t="n">
        <x:v>123.3</x:v>
      </x:c>
      <x:c r="AF23" s="19" t="str">
        <x:v>verified</x:v>
      </x:c>
      <x:c r="AG23" s="19" t="n">
        <x:v>4000</x:v>
      </x:c>
      <x:c r="AH23" s="19" t="n">
        <x:v>3350</x:v>
      </x:c>
      <x:c r="AI23" s="19" t="str">
        <x:v>LBS</x:v>
      </x:c>
      <x:c r="AJ23" s="42" t="n">
        <x:v>4000</x:v>
      </x:c>
      <x:c r="AK23" s="42" t="n">
        <x:v>3350</x:v>
      </x:c>
      <x:c r="AL23" s="42" t="n">
        <x:v>8818</x:v>
      </x:c>
      <x:c r="AM23" s="42" t="n">
        <x:v>7385</x:v>
      </x:c>
      <x:c r="AN23" s="19" t="str">
        <x:v>verified</x:v>
      </x:c>
      <x:c r="AO23" s="20" t="n">
        <x:v>156</x:v>
      </x:c>
      <x:c r="AP23" s="20" t="n">
        <x:v>150</x:v>
      </x:c>
      <x:c r="AQ23" s="19" t="str">
        <x:v>156 / 150</x:v>
      </x:c>
      <x:c r="AR23" s="20"/>
      <x:c r="AS23" s="20" t="str">
        <x:v>L</x:v>
      </x:c>
      <x:c r="AT23" s="20"/>
      <x:c r="AU23" s="19" t="str">
        <x:v>156/150 L</x:v>
      </x:c>
      <x:c r="AV23" s="19" t="str">
        <x:v>verified</x:v>
      </x:c>
      <x:c r="AW23" s="44" t="n">
        <x:v>1076</x:v>
      </x:c>
      <x:c r="AX23" s="19" t="n">
        <x:v>42</x:v>
      </x:c>
      <x:c r="AY23" s="42" t="n">
        <x:v>42.36</x:v>
      </x:c>
      <x:c r="AZ23" s="44" t="n">
        <x:v>312</x:v>
      </x:c>
      <x:c r="BA23" s="19" t="n">
        <x:v>12</x:v>
      </x:c>
      <x:c r="BB23" s="42" t="n">
        <x:v>12.28</x:v>
      </x:c>
      <x:c r="BC23" s="20" t="str">
        <x:v>["drive"]</x:v>
      </x:c>
      <x:c r="BD23" s="20" t="str">
        <x:v>["long-haul"]</x:v>
      </x:c>
      <x:c r="BE23" s="20" t="str">
        <x:v>["high-mileage","anti-wear","anti-tear","short-braking-distance"]</x:v>
      </x:c>
      <x:c r="BF23" s="20" t="str">
        <x:v>tbr</x:v>
      </x:c>
      <x:c r="BG23" s="20" t="str">
        <x:v>BIZON-MODEL-DSR08A</x:v>
      </x:c>
      <x:c r="BH23" s="19" t="str">
        <x:v>DOUBLESTAR COMBODIA TBR CATALOGUE.pdf</x:v>
      </x:c>
      <x:c r="BI23" s="19" t="n">
        <x:v>4</x:v>
      </x:c>
      <x:c r="BJ23" s="19" t="n">
        <x:v>2</x:v>
      </x:c>
      <x:c r="BK23" s="19" t="str">
        <x:v>verified</x:v>
      </x:c>
      <x:c r="BL23" s="20" t="str">
        <x:v>[]</x:v>
      </x:c>
      <x:c r="BM23" s="31" t="b">
        <x:v>0</x:v>
      </x:c>
      <x:c r="BN23" s="20" t="str">
        <x:v>Грузовая шина BIZON DSR08A для магистральной эксплуатации.</x:v>
      </x:c>
      <x:c r="BO23" s="20" t="str">
        <x:v>Модель BIZON DSR08A. Позиция установки по каталогу: Drive. Основные заявленные свойства: Высокий пробег; Износостойкость; Стойкость к разрывам; Короткий тормозной путь.</x:v>
      </x:c>
    </x:row>
    <x:row r="24">
      <x:c r="A24" s="18" t="str">
        <x:v>BIZON-VAR-DMS100-38565R225-24PR</x:v>
      </x:c>
      <x:c r="B24" s="18" t="str">
        <x:v>BIZON-MODEL-DMS100</x:v>
      </x:c>
      <x:c r="C24" s="18" t="str">
        <x:v>BIZON</x:v>
      </x:c>
      <x:c r="D24" s="19" t="str">
        <x:v>DOUBLESTAR</x:v>
      </x:c>
      <x:c r="E24" s="18" t="str">
        <x:v>TBR</x:v>
      </x:c>
      <x:c r="F24" s="18" t="str">
        <x:v>DMS100</x:v>
      </x:c>
      <x:c r="G24" s="18" t="str">
        <x:v>dms100</x:v>
      </x:c>
      <x:c r="H24" s="18" t="str">
        <x:v>BIZON DMS100</x:v>
      </x:c>
      <x:c r="I24" s="18" t="str">
        <x:v>draft</x:v>
      </x:c>
      <x:c r="J24" s="19" t="str">
        <x:v>verified</x:v>
      </x:c>
      <x:c r="K24" s="19" t="str">
        <x:v>385/65R22.5</x:v>
      </x:c>
      <x:c r="L24" s="18" t="str">
        <x:v>385/65R22.5</x:v>
      </x:c>
      <x:c r="M24" s="18" t="str">
        <x:v>metric</x:v>
      </x:c>
      <x:c r="N24" s="39" t="n">
        <x:v>385</x:v>
      </x:c>
      <x:c r="O24" s="39"/>
      <x:c r="P24" s="40" t="n">
        <x:v>65</x:v>
      </x:c>
      <x:c r="Q24" s="18" t="str">
        <x:v>R</x:v>
      </x:c>
      <x:c r="R24" s="39" t="n">
        <x:v>22.5</x:v>
      </x:c>
      <x:c r="S24" s="18" t="n">
        <x:v>24</x:v>
      </x:c>
      <x:c r="T24" s="39" t="n">
        <x:v>17.5</x:v>
      </x:c>
      <x:c r="U24" s="41" t="n">
        <x:v>22</x:v>
      </x:c>
      <x:c r="V24" s="39" t="n">
        <x:v>11.75</x:v>
      </x:c>
      <x:c r="W24" s="19" t="n">
        <x:v>900</x:v>
      </x:c>
      <x:c r="X24" s="19"/>
      <x:c r="Y24" s="19" t="str">
        <x:v>PSI</x:v>
      </x:c>
      <x:c r="Z24" s="42" t="n">
        <x:v>900</x:v>
      </x:c>
      <x:c r="AA24" s="42"/>
      <x:c r="AB24" s="42" t="n">
        <x:v>9</x:v>
      </x:c>
      <x:c r="AC24" s="42"/>
      <x:c r="AD24" s="42" t="n">
        <x:v>130.5</x:v>
      </x:c>
      <x:c r="AE24" s="42"/>
      <x:c r="AF24" s="19" t="str">
        <x:v>verified</x:v>
      </x:c>
      <x:c r="AG24" s="19" t="n">
        <x:v>5000</x:v>
      </x:c>
      <x:c r="AH24" s="19"/>
      <x:c r="AI24" s="19" t="str">
        <x:v>LBS</x:v>
      </x:c>
      <x:c r="AJ24" s="42" t="n">
        <x:v>5000</x:v>
      </x:c>
      <x:c r="AK24" s="42"/>
      <x:c r="AL24" s="42" t="n">
        <x:v>11023</x:v>
      </x:c>
      <x:c r="AM24" s="42"/>
      <x:c r="AN24" s="19" t="str">
        <x:v>verified</x:v>
      </x:c>
      <x:c r="AO24" s="18" t="n">
        <x:v>164</x:v>
      </x:c>
      <x:c r="AP24" s="18"/>
      <x:c r="AQ24" s="19" t="str">
        <x:v>164</x:v>
      </x:c>
      <x:c r="AR24" s="18"/>
      <x:c r="AS24" s="18" t="str">
        <x:v>K</x:v>
      </x:c>
      <x:c r="AT24" s="18"/>
      <x:c r="AU24" s="19" t="str">
        <x:v>164 K</x:v>
      </x:c>
      <x:c r="AV24" s="19" t="str">
        <x:v>verified</x:v>
      </x:c>
      <x:c r="AW24" s="39" t="n">
        <x:v>1072</x:v>
      </x:c>
      <x:c r="AX24" s="19" t="n">
        <x:v>42</x:v>
      </x:c>
      <x:c r="AY24" s="42" t="n">
        <x:v>42.2</x:v>
      </x:c>
      <x:c r="AZ24" s="39" t="n">
        <x:v>389</x:v>
      </x:c>
      <x:c r="BA24" s="19" t="n">
        <x:v>15</x:v>
      </x:c>
      <x:c r="BB24" s="42" t="n">
        <x:v>15.31</x:v>
      </x:c>
      <x:c r="BC24" s="18" t="str">
        <x:v>["steer","trailer"]</x:v>
      </x:c>
      <x:c r="BD24" s="18" t="str">
        <x:v>["long-haul","regional"]</x:v>
      </x:c>
      <x:c r="BE24" s="18" t="str">
        <x:v>["handling","safety","high-mileage"]</x:v>
      </x:c>
      <x:c r="BF24" s="18" t="str">
        <x:v>tbr</x:v>
      </x:c>
      <x:c r="BG24" s="18" t="str">
        <x:v>BIZON-MODEL-DMS100</x:v>
      </x:c>
      <x:c r="BH24" s="19" t="str">
        <x:v>DOUBLESTAR COMBODIA TBR CATALOGUE.pdf</x:v>
      </x:c>
      <x:c r="BI24" s="19" t="n">
        <x:v>5</x:v>
      </x:c>
      <x:c r="BJ24" s="19" t="n">
        <x:v>1</x:v>
      </x:c>
      <x:c r="BK24" s="19" t="str">
        <x:v>verified</x:v>
      </x:c>
      <x:c r="BL24" s="18" t="str">
        <x:v>[]</x:v>
      </x:c>
      <x:c r="BM24" s="28" t="b">
        <x:v>0</x:v>
      </x:c>
      <x:c r="BN24" s="18" t="str">
        <x:v>Грузовая шина BIZON DMS100 для магистральной и региональной эксплуатации.</x:v>
      </x:c>
      <x:c r="BO24" s="18" t="str">
        <x:v>Модель BIZON DMS100. Позиция установки по каталогу: Steer and trailer. Основные заявленные свойства: Управляемость; Безопасность; Высокий пробег.</x:v>
      </x:c>
    </x:row>
    <x:row r="25">
      <x:c r="A25" s="20" t="str">
        <x:v>BIZON-VAR-DMS100-38555R225-20PR</x:v>
      </x:c>
      <x:c r="B25" s="20" t="str">
        <x:v>BIZON-MODEL-DMS100</x:v>
      </x:c>
      <x:c r="C25" s="20" t="str">
        <x:v>BIZON</x:v>
      </x:c>
      <x:c r="D25" s="19" t="str">
        <x:v>DOUBLESTAR</x:v>
      </x:c>
      <x:c r="E25" s="20" t="str">
        <x:v>TBR</x:v>
      </x:c>
      <x:c r="F25" s="20" t="str">
        <x:v>DMS100</x:v>
      </x:c>
      <x:c r="G25" s="20" t="str">
        <x:v>dms100</x:v>
      </x:c>
      <x:c r="H25" s="20" t="str">
        <x:v>BIZON DMS100</x:v>
      </x:c>
      <x:c r="I25" s="20" t="str">
        <x:v>draft</x:v>
      </x:c>
      <x:c r="J25" s="19" t="str">
        <x:v>verified</x:v>
      </x:c>
      <x:c r="K25" s="19" t="str">
        <x:v>385/55R22.5</x:v>
      </x:c>
      <x:c r="L25" s="20" t="str">
        <x:v>385/55R22.5</x:v>
      </x:c>
      <x:c r="M25" s="20" t="str">
        <x:v>metric</x:v>
      </x:c>
      <x:c r="N25" s="44" t="n">
        <x:v>385</x:v>
      </x:c>
      <x:c r="O25" s="44"/>
      <x:c r="P25" s="45" t="n">
        <x:v>55</x:v>
      </x:c>
      <x:c r="Q25" s="20" t="str">
        <x:v>R</x:v>
      </x:c>
      <x:c r="R25" s="44" t="n">
        <x:v>22.5</x:v>
      </x:c>
      <x:c r="S25" s="20" t="n">
        <x:v>20</x:v>
      </x:c>
      <x:c r="T25" s="44" t="n">
        <x:v>15.3</x:v>
      </x:c>
      <x:c r="U25" s="41" t="n">
        <x:v>19</x:v>
      </x:c>
      <x:c r="V25" s="44" t="n">
        <x:v>12.25</x:v>
      </x:c>
      <x:c r="W25" s="19" t="n">
        <x:v>900</x:v>
      </x:c>
      <x:c r="X25" s="19"/>
      <x:c r="Y25" s="19" t="str">
        <x:v>PSI</x:v>
      </x:c>
      <x:c r="Z25" s="42" t="n">
        <x:v>900</x:v>
      </x:c>
      <x:c r="AA25" s="42"/>
      <x:c r="AB25" s="42" t="n">
        <x:v>9</x:v>
      </x:c>
      <x:c r="AC25" s="42"/>
      <x:c r="AD25" s="42" t="n">
        <x:v>130.5</x:v>
      </x:c>
      <x:c r="AE25" s="42"/>
      <x:c r="AF25" s="19" t="str">
        <x:v>verified</x:v>
      </x:c>
      <x:c r="AG25" s="19" t="n">
        <x:v>4500</x:v>
      </x:c>
      <x:c r="AH25" s="19"/>
      <x:c r="AI25" s="19" t="str">
        <x:v>LBS</x:v>
      </x:c>
      <x:c r="AJ25" s="42" t="n">
        <x:v>4500</x:v>
      </x:c>
      <x:c r="AK25" s="42"/>
      <x:c r="AL25" s="42" t="n">
        <x:v>9921</x:v>
      </x:c>
      <x:c r="AM25" s="42"/>
      <x:c r="AN25" s="19" t="str">
        <x:v>verified</x:v>
      </x:c>
      <x:c r="AO25" s="20" t="n">
        <x:v>160</x:v>
      </x:c>
      <x:c r="AP25" s="20"/>
      <x:c r="AQ25" s="19" t="str">
        <x:v>160(158)</x:v>
      </x:c>
      <x:c r="AR25" s="20" t="n">
        <x:v>158</x:v>
      </x:c>
      <x:c r="AS25" s="20" t="str">
        <x:v>K</x:v>
      </x:c>
      <x:c r="AT25" s="20" t="str">
        <x:v>L</x:v>
      </x:c>
      <x:c r="AU25" s="19" t="str">
        <x:v>160(158) K(L)</x:v>
      </x:c>
      <x:c r="AV25" s="19" t="str">
        <x:v>needs_review</x:v>
      </x:c>
      <x:c r="AW25" s="44" t="n">
        <x:v>996</x:v>
      </x:c>
      <x:c r="AX25" s="19" t="n">
        <x:v>39</x:v>
      </x:c>
      <x:c r="AY25" s="42" t="n">
        <x:v>39.21</x:v>
      </x:c>
      <x:c r="AZ25" s="44" t="n">
        <x:v>386</x:v>
      </x:c>
      <x:c r="BA25" s="19" t="n">
        <x:v>15</x:v>
      </x:c>
      <x:c r="BB25" s="42" t="n">
        <x:v>15.2</x:v>
      </x:c>
      <x:c r="BC25" s="20" t="str">
        <x:v>["steer","trailer"]</x:v>
      </x:c>
      <x:c r="BD25" s="20" t="str">
        <x:v>["long-haul","regional"]</x:v>
      </x:c>
      <x:c r="BE25" s="20" t="str">
        <x:v>["handling","safety","high-mileage"]</x:v>
      </x:c>
      <x:c r="BF25" s="20" t="str">
        <x:v>tbr</x:v>
      </x:c>
      <x:c r="BG25" s="20" t="str">
        <x:v>BIZON-MODEL-DMS100</x:v>
      </x:c>
      <x:c r="BH25" s="19" t="str">
        <x:v>DOUBLESTAR COMBODIA TBR CATALOGUE.pdf</x:v>
      </x:c>
      <x:c r="BI25" s="19" t="n">
        <x:v>5</x:v>
      </x:c>
      <x:c r="BJ25" s="19" t="n">
        <x:v>2</x:v>
      </x:c>
      <x:c r="BK25" s="19" t="str">
        <x:v>needs_review</x:v>
      </x:c>
      <x:c r="BL25" s="20" t="str">
        <x:v>["alternative_rating_notation"]</x:v>
      </x:c>
      <x:c r="BM25" s="31" t="b">
        <x:v>1</x:v>
      </x:c>
      <x:c r="BN25" s="20" t="str">
        <x:v>Грузовая шина BIZON DMS100 для магистральной и региональной эксплуатации.</x:v>
      </x:c>
      <x:c r="BO25" s="20" t="str">
        <x:v>Модель BIZON DMS100. Позиция установки по каталогу: Steer and trailer. Основные заявленные свойства: Управляемость; Безопасность; Высокий пробег.</x:v>
      </x:c>
    </x:row>
    <x:row r="26">
      <x:c r="A26" s="18" t="str">
        <x:v>BIZON-VAR-DLS918-29580R225-18PR</x:v>
      </x:c>
      <x:c r="B26" s="18" t="str">
        <x:v>BIZON-MODEL-DLS918</x:v>
      </x:c>
      <x:c r="C26" s="18" t="str">
        <x:v>BIZON</x:v>
      </x:c>
      <x:c r="D26" s="19" t="str">
        <x:v>DOUBLESTAR</x:v>
      </x:c>
      <x:c r="E26" s="18" t="str">
        <x:v>TBR</x:v>
      </x:c>
      <x:c r="F26" s="18" t="str">
        <x:v>DLS918</x:v>
      </x:c>
      <x:c r="G26" s="18" t="str">
        <x:v>dls918</x:v>
      </x:c>
      <x:c r="H26" s="18" t="str">
        <x:v>BIZON DLS918</x:v>
      </x:c>
      <x:c r="I26" s="18" t="str">
        <x:v>draft</x:v>
      </x:c>
      <x:c r="J26" s="19" t="str">
        <x:v>verified</x:v>
      </x:c>
      <x:c r="K26" s="19" t="str">
        <x:v>295/80R22.5</x:v>
      </x:c>
      <x:c r="L26" s="18" t="str">
        <x:v>295/80R22.5</x:v>
      </x:c>
      <x:c r="M26" s="18" t="str">
        <x:v>metric</x:v>
      </x:c>
      <x:c r="N26" s="39" t="n">
        <x:v>295</x:v>
      </x:c>
      <x:c r="O26" s="39"/>
      <x:c r="P26" s="40" t="n">
        <x:v>80</x:v>
      </x:c>
      <x:c r="Q26" s="18" t="str">
        <x:v>R</x:v>
      </x:c>
      <x:c r="R26" s="39" t="n">
        <x:v>22.5</x:v>
      </x:c>
      <x:c r="S26" s="18" t="n">
        <x:v>18</x:v>
      </x:c>
      <x:c r="T26" s="39" t="n">
        <x:v>15</x:v>
      </x:c>
      <x:c r="U26" s="41" t="n">
        <x:v>19</x:v>
      </x:c>
      <x:c r="V26" s="39" t="n">
        <x:v>9</x:v>
      </x:c>
      <x:c r="W26" s="19" t="n">
        <x:v>900</x:v>
      </x:c>
      <x:c r="X26" s="19" t="n">
        <x:v>900</x:v>
      </x:c>
      <x:c r="Y26" s="19" t="str">
        <x:v>PSI</x:v>
      </x:c>
      <x:c r="Z26" s="42" t="n">
        <x:v>900</x:v>
      </x:c>
      <x:c r="AA26" s="42" t="n">
        <x:v>900</x:v>
      </x:c>
      <x:c r="AB26" s="42" t="n">
        <x:v>9</x:v>
      </x:c>
      <x:c r="AC26" s="42" t="n">
        <x:v>9</x:v>
      </x:c>
      <x:c r="AD26" s="42" t="n">
        <x:v>130.5</x:v>
      </x:c>
      <x:c r="AE26" s="42" t="n">
        <x:v>130.5</x:v>
      </x:c>
      <x:c r="AF26" s="19" t="str">
        <x:v>verified</x:v>
      </x:c>
      <x:c r="AG26" s="19" t="n">
        <x:v>3550</x:v>
      </x:c>
      <x:c r="AH26" s="19" t="n">
        <x:v>3250</x:v>
      </x:c>
      <x:c r="AI26" s="19" t="str">
        <x:v>LBS</x:v>
      </x:c>
      <x:c r="AJ26" s="42" t="n">
        <x:v>3550</x:v>
      </x:c>
      <x:c r="AK26" s="42" t="n">
        <x:v>3250</x:v>
      </x:c>
      <x:c r="AL26" s="42" t="n">
        <x:v>7826</x:v>
      </x:c>
      <x:c r="AM26" s="42" t="n">
        <x:v>7165</x:v>
      </x:c>
      <x:c r="AN26" s="19" t="str">
        <x:v>verified</x:v>
      </x:c>
      <x:c r="AO26" s="18" t="n">
        <x:v>152</x:v>
      </x:c>
      <x:c r="AP26" s="18" t="n">
        <x:v>149</x:v>
      </x:c>
      <x:c r="AQ26" s="19" t="str">
        <x:v>152 / 149</x:v>
      </x:c>
      <x:c r="AR26" s="18"/>
      <x:c r="AS26" s="18" t="str">
        <x:v>L</x:v>
      </x:c>
      <x:c r="AT26" s="18"/>
      <x:c r="AU26" s="19" t="str">
        <x:v>152/149 L</x:v>
      </x:c>
      <x:c r="AV26" s="19" t="str">
        <x:v>verified</x:v>
      </x:c>
      <x:c r="AW26" s="39" t="n">
        <x:v>1044</x:v>
      </x:c>
      <x:c r="AX26" s="19" t="n">
        <x:v>41</x:v>
      </x:c>
      <x:c r="AY26" s="42" t="n">
        <x:v>41.1</x:v>
      </x:c>
      <x:c r="AZ26" s="39" t="n">
        <x:v>298</x:v>
      </x:c>
      <x:c r="BA26" s="19" t="n">
        <x:v>12</x:v>
      </x:c>
      <x:c r="BB26" s="42" t="n">
        <x:v>11.73</x:v>
      </x:c>
      <x:c r="BC26" s="18" t="str">
        <x:v>["steer","trailer"]</x:v>
      </x:c>
      <x:c r="BD26" s="18" t="str">
        <x:v>["long-haul","regional"]</x:v>
      </x:c>
      <x:c r="BE26" s="18" t="str">
        <x:v>["handling","safety","high-mileage"]</x:v>
      </x:c>
      <x:c r="BF26" s="18" t="str">
        <x:v>tbr</x:v>
      </x:c>
      <x:c r="BG26" s="18" t="str">
        <x:v>BIZON-MODEL-DLS918</x:v>
      </x:c>
      <x:c r="BH26" s="19" t="str">
        <x:v>DOUBLESTAR COMBODIA TBR CATALOGUE.pdf</x:v>
      </x:c>
      <x:c r="BI26" s="19" t="n">
        <x:v>5</x:v>
      </x:c>
      <x:c r="BJ26" s="19" t="n">
        <x:v>1</x:v>
      </x:c>
      <x:c r="BK26" s="19" t="str">
        <x:v>verified</x:v>
      </x:c>
      <x:c r="BL26" s="18" t="str">
        <x:v>[]</x:v>
      </x:c>
      <x:c r="BM26" s="28" t="b">
        <x:v>0</x:v>
      </x:c>
      <x:c r="BN26" s="18" t="str">
        <x:v>Грузовая шина BIZON DLS918 для магистральной и региональной эксплуатации.</x:v>
      </x:c>
      <x:c r="BO26" s="18" t="str">
        <x:v>Модель BIZON DLS918. Позиция установки по каталогу: Steer and trailer. Основные заявленные свойства: Управляемость; Безопасность; Высокий пробег.</x:v>
      </x:c>
    </x:row>
    <x:row r="27">
      <x:c r="A27" s="20" t="str">
        <x:v>BIZON-VAR-DSR118-38565R225-20PR</x:v>
      </x:c>
      <x:c r="B27" s="20" t="str">
        <x:v>BIZON-MODEL-DSR118</x:v>
      </x:c>
      <x:c r="C27" s="20" t="str">
        <x:v>BIZON</x:v>
      </x:c>
      <x:c r="D27" s="19" t="str">
        <x:v>DOUBLESTAR</x:v>
      </x:c>
      <x:c r="E27" s="20" t="str">
        <x:v>TBR</x:v>
      </x:c>
      <x:c r="F27" s="20" t="str">
        <x:v>DSR118</x:v>
      </x:c>
      <x:c r="G27" s="20" t="str">
        <x:v>dsr118</x:v>
      </x:c>
      <x:c r="H27" s="20" t="str">
        <x:v>BIZON DSR118</x:v>
      </x:c>
      <x:c r="I27" s="20" t="str">
        <x:v>draft</x:v>
      </x:c>
      <x:c r="J27" s="19" t="str">
        <x:v>verified</x:v>
      </x:c>
      <x:c r="K27" s="19" t="str">
        <x:v>385/65R22.5</x:v>
      </x:c>
      <x:c r="L27" s="20" t="str">
        <x:v>385/65R22.5</x:v>
      </x:c>
      <x:c r="M27" s="20" t="str">
        <x:v>metric</x:v>
      </x:c>
      <x:c r="N27" s="44" t="n">
        <x:v>385</x:v>
      </x:c>
      <x:c r="O27" s="44"/>
      <x:c r="P27" s="45" t="n">
        <x:v>65</x:v>
      </x:c>
      <x:c r="Q27" s="20" t="str">
        <x:v>R</x:v>
      </x:c>
      <x:c r="R27" s="44" t="n">
        <x:v>22.5</x:v>
      </x:c>
      <x:c r="S27" s="20" t="n">
        <x:v>20</x:v>
      </x:c>
      <x:c r="T27" s="44" t="n">
        <x:v>15</x:v>
      </x:c>
      <x:c r="U27" s="41" t="n">
        <x:v>19</x:v>
      </x:c>
      <x:c r="V27" s="44" t="n">
        <x:v>11.75</x:v>
      </x:c>
      <x:c r="W27" s="19" t="n">
        <x:v>900</x:v>
      </x:c>
      <x:c r="X27" s="19"/>
      <x:c r="Y27" s="19" t="str">
        <x:v>PSI</x:v>
      </x:c>
      <x:c r="Z27" s="42" t="n">
        <x:v>900</x:v>
      </x:c>
      <x:c r="AA27" s="42"/>
      <x:c r="AB27" s="42" t="n">
        <x:v>9</x:v>
      </x:c>
      <x:c r="AC27" s="42"/>
      <x:c r="AD27" s="42" t="n">
        <x:v>130.5</x:v>
      </x:c>
      <x:c r="AE27" s="42"/>
      <x:c r="AF27" s="19" t="str">
        <x:v>verified</x:v>
      </x:c>
      <x:c r="AG27" s="19" t="n">
        <x:v>4450</x:v>
      </x:c>
      <x:c r="AH27" s="19"/>
      <x:c r="AI27" s="19" t="str">
        <x:v>LBS</x:v>
      </x:c>
      <x:c r="AJ27" s="42" t="n">
        <x:v>4450</x:v>
      </x:c>
      <x:c r="AK27" s="42"/>
      <x:c r="AL27" s="42" t="n">
        <x:v>9811</x:v>
      </x:c>
      <x:c r="AM27" s="42"/>
      <x:c r="AN27" s="19" t="str">
        <x:v>verified</x:v>
      </x:c>
      <x:c r="AO27" s="20" t="n">
        <x:v>160</x:v>
      </x:c>
      <x:c r="AP27" s="20"/>
      <x:c r="AQ27" s="19" t="str">
        <x:v>160(158)</x:v>
      </x:c>
      <x:c r="AR27" s="20" t="n">
        <x:v>158</x:v>
      </x:c>
      <x:c r="AS27" s="20" t="str">
        <x:v>K</x:v>
      </x:c>
      <x:c r="AT27" s="20" t="str">
        <x:v>L</x:v>
      </x:c>
      <x:c r="AU27" s="19" t="str">
        <x:v>160(158) K(L)</x:v>
      </x:c>
      <x:c r="AV27" s="19" t="str">
        <x:v>needs_review</x:v>
      </x:c>
      <x:c r="AW27" s="44" t="n">
        <x:v>1072</x:v>
      </x:c>
      <x:c r="AX27" s="19" t="n">
        <x:v>42</x:v>
      </x:c>
      <x:c r="AY27" s="42" t="n">
        <x:v>42.2</x:v>
      </x:c>
      <x:c r="AZ27" s="44" t="n">
        <x:v>389</x:v>
      </x:c>
      <x:c r="BA27" s="19" t="n">
        <x:v>15</x:v>
      </x:c>
      <x:c r="BB27" s="42" t="n">
        <x:v>15.31</x:v>
      </x:c>
      <x:c r="BC27" s="20" t="str">
        <x:v>["trailer"]</x:v>
      </x:c>
      <x:c r="BD27" s="20" t="str">
        <x:v>["long-haul","urban"]</x:v>
      </x:c>
      <x:c r="BE27" s="20" t="str">
        <x:v>["low-noise","heavy-load","safety","retreadability"]</x:v>
      </x:c>
      <x:c r="BF27" s="20" t="str">
        <x:v>tbr</x:v>
      </x:c>
      <x:c r="BG27" s="20" t="str">
        <x:v>BIZON-MODEL-DSR118</x:v>
      </x:c>
      <x:c r="BH27" s="19" t="str">
        <x:v>DOUBLESTAR COMBODIA TBR CATALOGUE.pdf</x:v>
      </x:c>
      <x:c r="BI27" s="19" t="n">
        <x:v>5</x:v>
      </x:c>
      <x:c r="BJ27" s="19" t="n">
        <x:v>1</x:v>
      </x:c>
      <x:c r="BK27" s="19" t="str">
        <x:v>needs_review</x:v>
      </x:c>
      <x:c r="BL27" s="20" t="str">
        <x:v>["alternative_rating_notation"]</x:v>
      </x:c>
      <x:c r="BM27" s="31" t="b">
        <x:v>1</x:v>
      </x:c>
      <x:c r="BN27" s="20" t="str">
        <x:v>Грузовая шина BIZON DSR118 для магистральной и городской эксплуатации.</x:v>
      </x:c>
      <x:c r="BO27" s="20" t="str">
        <x:v>Модель BIZON DSR118. Позиция установки по каталогу: Trailer. Основные заявленные свойства: Низкий уровень шума; Высокая грузоподъёмность; Безопасность; Восстанавливаемость.</x:v>
      </x:c>
    </x:row>
    <x:row r="28">
      <x:c r="A28" s="18" t="str">
        <x:v>BIZON-VAR-DSR566-29580R225-18PR</x:v>
      </x:c>
      <x:c r="B28" s="18" t="str">
        <x:v>BIZON-MODEL-DSR566</x:v>
      </x:c>
      <x:c r="C28" s="18" t="str">
        <x:v>BIZON</x:v>
      </x:c>
      <x:c r="D28" s="19" t="str">
        <x:v>DOUBLESTAR</x:v>
      </x:c>
      <x:c r="E28" s="18" t="str">
        <x:v>TBR</x:v>
      </x:c>
      <x:c r="F28" s="18" t="str">
        <x:v>DSR566</x:v>
      </x:c>
      <x:c r="G28" s="18" t="str">
        <x:v>dsr566</x:v>
      </x:c>
      <x:c r="H28" s="18" t="str">
        <x:v>BIZON DSR566</x:v>
      </x:c>
      <x:c r="I28" s="18" t="str">
        <x:v>draft</x:v>
      </x:c>
      <x:c r="J28" s="19" t="str">
        <x:v>verified</x:v>
      </x:c>
      <x:c r="K28" s="19" t="str">
        <x:v>295/80R22.5</x:v>
      </x:c>
      <x:c r="L28" s="18" t="str">
        <x:v>295/80R22.5</x:v>
      </x:c>
      <x:c r="M28" s="18" t="str">
        <x:v>metric</x:v>
      </x:c>
      <x:c r="N28" s="39" t="n">
        <x:v>295</x:v>
      </x:c>
      <x:c r="O28" s="39"/>
      <x:c r="P28" s="40" t="n">
        <x:v>80</x:v>
      </x:c>
      <x:c r="Q28" s="18" t="str">
        <x:v>R</x:v>
      </x:c>
      <x:c r="R28" s="39" t="n">
        <x:v>22.5</x:v>
      </x:c>
      <x:c r="S28" s="18" t="n">
        <x:v>18</x:v>
      </x:c>
      <x:c r="T28" s="39" t="n">
        <x:v>14.5</x:v>
      </x:c>
      <x:c r="U28" s="41" t="n">
        <x:v>18</x:v>
      </x:c>
      <x:c r="V28" s="39" t="n">
        <x:v>9</x:v>
      </x:c>
      <x:c r="W28" s="19" t="n">
        <x:v>850</x:v>
      </x:c>
      <x:c r="X28" s="19" t="n">
        <x:v>850</x:v>
      </x:c>
      <x:c r="Y28" s="19" t="str">
        <x:v>PSI</x:v>
      </x:c>
      <x:c r="Z28" s="42" t="n">
        <x:v>850</x:v>
      </x:c>
      <x:c r="AA28" s="42" t="n">
        <x:v>850</x:v>
      </x:c>
      <x:c r="AB28" s="42" t="n">
        <x:v>8.5</x:v>
      </x:c>
      <x:c r="AC28" s="42" t="n">
        <x:v>8.5</x:v>
      </x:c>
      <x:c r="AD28" s="42" t="n">
        <x:v>123.3</x:v>
      </x:c>
      <x:c r="AE28" s="42" t="n">
        <x:v>123.3</x:v>
      </x:c>
      <x:c r="AF28" s="19" t="str">
        <x:v>verified</x:v>
      </x:c>
      <x:c r="AG28" s="19" t="n">
        <x:v>3750</x:v>
      </x:c>
      <x:c r="AH28" s="19" t="n">
        <x:v>3550</x:v>
      </x:c>
      <x:c r="AI28" s="19" t="str">
        <x:v>LBS</x:v>
      </x:c>
      <x:c r="AJ28" s="42" t="n">
        <x:v>3750</x:v>
      </x:c>
      <x:c r="AK28" s="42" t="n">
        <x:v>3550</x:v>
      </x:c>
      <x:c r="AL28" s="42" t="n">
        <x:v>8267</x:v>
      </x:c>
      <x:c r="AM28" s="42" t="n">
        <x:v>7826</x:v>
      </x:c>
      <x:c r="AN28" s="19" t="str">
        <x:v>verified</x:v>
      </x:c>
      <x:c r="AO28" s="18" t="n">
        <x:v>154</x:v>
      </x:c>
      <x:c r="AP28" s="18" t="n">
        <x:v>152</x:v>
      </x:c>
      <x:c r="AQ28" s="19" t="str">
        <x:v>154 / 152</x:v>
      </x:c>
      <x:c r="AR28" s="18"/>
      <x:c r="AS28" s="18" t="str">
        <x:v>M</x:v>
      </x:c>
      <x:c r="AT28" s="18"/>
      <x:c r="AU28" s="19" t="str">
        <x:v>154/152 M</x:v>
      </x:c>
      <x:c r="AV28" s="19" t="str">
        <x:v>verified</x:v>
      </x:c>
      <x:c r="AW28" s="39" t="n">
        <x:v>1044</x:v>
      </x:c>
      <x:c r="AX28" s="19" t="n">
        <x:v>41</x:v>
      </x:c>
      <x:c r="AY28" s="42" t="n">
        <x:v>41.1</x:v>
      </x:c>
      <x:c r="AZ28" s="39" t="n">
        <x:v>298</x:v>
      </x:c>
      <x:c r="BA28" s="19" t="n">
        <x:v>12</x:v>
      </x:c>
      <x:c r="BB28" s="42" t="n">
        <x:v>11.73</x:v>
      </x:c>
      <x:c r="BC28" s="18" t="str">
        <x:v>["steer","trailer"]</x:v>
      </x:c>
      <x:c r="BD28" s="18" t="str">
        <x:v>["long-haul"]</x:v>
      </x:c>
      <x:c r="BE28" s="18" t="str">
        <x:v>["anti-wear","low-noise","economy","high-mileage"]</x:v>
      </x:c>
      <x:c r="BF28" s="18" t="str">
        <x:v>tbr</x:v>
      </x:c>
      <x:c r="BG28" s="18" t="str">
        <x:v>BIZON-MODEL-DSR566</x:v>
      </x:c>
      <x:c r="BH28" s="19" t="str">
        <x:v>DOUBLESTAR COMBODIA TBR CATALOGUE.pdf</x:v>
      </x:c>
      <x:c r="BI28" s="19" t="n">
        <x:v>5</x:v>
      </x:c>
      <x:c r="BJ28" s="19" t="n">
        <x:v>1</x:v>
      </x:c>
      <x:c r="BK28" s="19" t="str">
        <x:v>verified</x:v>
      </x:c>
      <x:c r="BL28" s="18" t="str">
        <x:v>[]</x:v>
      </x:c>
      <x:c r="BM28" s="28" t="b">
        <x:v>0</x:v>
      </x:c>
      <x:c r="BN28" s="18" t="str">
        <x:v>Грузовая шина BIZON DSR566 для магистральной эксплуатации.</x:v>
      </x:c>
      <x:c r="BO28" s="18" t="str">
        <x:v>Модель BIZON DSR566. Позиция установки по каталогу: Steer and trailer. Основные заявленные свойства: Износостойкость; Низкий уровень шума; Экономичность; Высокий пробег.</x:v>
      </x:c>
    </x:row>
    <x:row r="29">
      <x:c r="A29" s="20" t="str">
        <x:v>BIZON-VAR-DLD815-29580R225-18PR</x:v>
      </x:c>
      <x:c r="B29" s="20" t="str">
        <x:v>BIZON-MODEL-DLD815</x:v>
      </x:c>
      <x:c r="C29" s="20" t="str">
        <x:v>BIZON</x:v>
      </x:c>
      <x:c r="D29" s="19" t="str">
        <x:v>DOUBLESTAR</x:v>
      </x:c>
      <x:c r="E29" s="20" t="str">
        <x:v>TBR</x:v>
      </x:c>
      <x:c r="F29" s="20" t="str">
        <x:v>DLD815</x:v>
      </x:c>
      <x:c r="G29" s="20" t="str">
        <x:v>dld815</x:v>
      </x:c>
      <x:c r="H29" s="20" t="str">
        <x:v>BIZON DLD815</x:v>
      </x:c>
      <x:c r="I29" s="20" t="str">
        <x:v>draft</x:v>
      </x:c>
      <x:c r="J29" s="19" t="str">
        <x:v>verified</x:v>
      </x:c>
      <x:c r="K29" s="19" t="str">
        <x:v>295/80R22.5</x:v>
      </x:c>
      <x:c r="L29" s="20" t="str">
        <x:v>295/80R22.5</x:v>
      </x:c>
      <x:c r="M29" s="20" t="str">
        <x:v>metric</x:v>
      </x:c>
      <x:c r="N29" s="44" t="n">
        <x:v>295</x:v>
      </x:c>
      <x:c r="O29" s="44"/>
      <x:c r="P29" s="45" t="n">
        <x:v>80</x:v>
      </x:c>
      <x:c r="Q29" s="20" t="str">
        <x:v>R</x:v>
      </x:c>
      <x:c r="R29" s="44" t="n">
        <x:v>22.5</x:v>
      </x:c>
      <x:c r="S29" s="20" t="n">
        <x:v>18</x:v>
      </x:c>
      <x:c r="T29" s="44" t="n">
        <x:v>18</x:v>
      </x:c>
      <x:c r="U29" s="41" t="n">
        <x:v>23</x:v>
      </x:c>
      <x:c r="V29" s="44" t="n">
        <x:v>9</x:v>
      </x:c>
      <x:c r="W29" s="19" t="n">
        <x:v>900</x:v>
      </x:c>
      <x:c r="X29" s="19" t="n">
        <x:v>900</x:v>
      </x:c>
      <x:c r="Y29" s="19" t="str">
        <x:v>PSI</x:v>
      </x:c>
      <x:c r="Z29" s="42" t="n">
        <x:v>900</x:v>
      </x:c>
      <x:c r="AA29" s="42" t="n">
        <x:v>900</x:v>
      </x:c>
      <x:c r="AB29" s="42" t="n">
        <x:v>9</x:v>
      </x:c>
      <x:c r="AC29" s="42" t="n">
        <x:v>9</x:v>
      </x:c>
      <x:c r="AD29" s="42" t="n">
        <x:v>130.5</x:v>
      </x:c>
      <x:c r="AE29" s="42" t="n">
        <x:v>130.5</x:v>
      </x:c>
      <x:c r="AF29" s="19" t="str">
        <x:v>verified</x:v>
      </x:c>
      <x:c r="AG29" s="19" t="n">
        <x:v>3550</x:v>
      </x:c>
      <x:c r="AH29" s="19" t="n">
        <x:v>3250</x:v>
      </x:c>
      <x:c r="AI29" s="19" t="str">
        <x:v>LBS</x:v>
      </x:c>
      <x:c r="AJ29" s="42" t="n">
        <x:v>3550</x:v>
      </x:c>
      <x:c r="AK29" s="42" t="n">
        <x:v>3250</x:v>
      </x:c>
      <x:c r="AL29" s="42" t="n">
        <x:v>7826</x:v>
      </x:c>
      <x:c r="AM29" s="42" t="n">
        <x:v>7165</x:v>
      </x:c>
      <x:c r="AN29" s="19" t="str">
        <x:v>verified</x:v>
      </x:c>
      <x:c r="AO29" s="20" t="n">
        <x:v>152</x:v>
      </x:c>
      <x:c r="AP29" s="20" t="n">
        <x:v>149</x:v>
      </x:c>
      <x:c r="AQ29" s="19" t="str">
        <x:v>152 / 149</x:v>
      </x:c>
      <x:c r="AR29" s="20"/>
      <x:c r="AS29" s="20" t="str">
        <x:v>L</x:v>
      </x:c>
      <x:c r="AT29" s="20"/>
      <x:c r="AU29" s="19" t="str">
        <x:v>152/149 L</x:v>
      </x:c>
      <x:c r="AV29" s="19" t="str">
        <x:v>verified</x:v>
      </x:c>
      <x:c r="AW29" s="44" t="n">
        <x:v>1044</x:v>
      </x:c>
      <x:c r="AX29" s="19" t="n">
        <x:v>41</x:v>
      </x:c>
      <x:c r="AY29" s="42" t="n">
        <x:v>41.1</x:v>
      </x:c>
      <x:c r="AZ29" s="44" t="n">
        <x:v>298</x:v>
      </x:c>
      <x:c r="BA29" s="19" t="n">
        <x:v>12</x:v>
      </x:c>
      <x:c r="BB29" s="42" t="n">
        <x:v>11.73</x:v>
      </x:c>
      <x:c r="BC29" s="20" t="str">
        <x:v>["drive"]</x:v>
      </x:c>
      <x:c r="BD29" s="20" t="str">
        <x:v>["long-haul"]</x:v>
      </x:c>
      <x:c r="BE29" s="20" t="str">
        <x:v>["safety","high-mileage","wet-grip","heat-dissipation"]</x:v>
      </x:c>
      <x:c r="BF29" s="20" t="str">
        <x:v>tbr</x:v>
      </x:c>
      <x:c r="BG29" s="20" t="str">
        <x:v>BIZON-MODEL-DLD815</x:v>
      </x:c>
      <x:c r="BH29" s="19" t="str">
        <x:v>DOUBLESTAR COMBODIA TBR CATALOGUE.pdf</x:v>
      </x:c>
      <x:c r="BI29" s="19" t="n">
        <x:v>6</x:v>
      </x:c>
      <x:c r="BJ29" s="19" t="n">
        <x:v>1</x:v>
      </x:c>
      <x:c r="BK29" s="19" t="str">
        <x:v>verified</x:v>
      </x:c>
      <x:c r="BL29" s="20" t="str">
        <x:v>[]</x:v>
      </x:c>
      <x:c r="BM29" s="31" t="b">
        <x:v>0</x:v>
      </x:c>
      <x:c r="BN29" s="20" t="str">
        <x:v>Грузовая шина BIZON DLD815 для магистральной эксплуатации.</x:v>
      </x:c>
      <x:c r="BO29" s="20" t="str">
        <x:v>Модель BIZON DLD815. Позиция установки по каталогу: Drive. Основные заявленные свойства: Безопасность; Высокий пробег; Сцепление на мокрой дороге; Теплоотвод.</x:v>
      </x:c>
    </x:row>
    <x:row r="30">
      <x:c r="A30" s="18" t="str">
        <x:v>BIZON-VAR-DWD100-31570R225-18PR</x:v>
      </x:c>
      <x:c r="B30" s="18" t="str">
        <x:v>BIZON-MODEL-DWD100</x:v>
      </x:c>
      <x:c r="C30" s="18" t="str">
        <x:v>BIZON</x:v>
      </x:c>
      <x:c r="D30" s="19" t="str">
        <x:v>DOUBLESTAR</x:v>
      </x:c>
      <x:c r="E30" s="18" t="str">
        <x:v>TBR</x:v>
      </x:c>
      <x:c r="F30" s="18" t="str">
        <x:v>DWD100</x:v>
      </x:c>
      <x:c r="G30" s="18" t="str">
        <x:v>dwd100</x:v>
      </x:c>
      <x:c r="H30" s="18" t="str">
        <x:v>BIZON DWD100</x:v>
      </x:c>
      <x:c r="I30" s="18" t="str">
        <x:v>draft</x:v>
      </x:c>
      <x:c r="J30" s="19" t="str">
        <x:v>verified</x:v>
      </x:c>
      <x:c r="K30" s="19" t="str">
        <x:v>315/70R22.5</x:v>
      </x:c>
      <x:c r="L30" s="18" t="str">
        <x:v>315/70R22.5</x:v>
      </x:c>
      <x:c r="M30" s="18" t="str">
        <x:v>metric</x:v>
      </x:c>
      <x:c r="N30" s="39" t="n">
        <x:v>315</x:v>
      </x:c>
      <x:c r="O30" s="39"/>
      <x:c r="P30" s="40" t="n">
        <x:v>70</x:v>
      </x:c>
      <x:c r="Q30" s="18" t="str">
        <x:v>R</x:v>
      </x:c>
      <x:c r="R30" s="39" t="n">
        <x:v>22.5</x:v>
      </x:c>
      <x:c r="S30" s="18" t="n">
        <x:v>18</x:v>
      </x:c>
      <x:c r="T30" s="39" t="n">
        <x:v>18.5</x:v>
      </x:c>
      <x:c r="U30" s="41" t="n">
        <x:v>23</x:v>
      </x:c>
      <x:c r="V30" s="39" t="n">
        <x:v>9</x:v>
      </x:c>
      <x:c r="W30" s="19" t="n">
        <x:v>900</x:v>
      </x:c>
      <x:c r="X30" s="19" t="n">
        <x:v>900</x:v>
      </x:c>
      <x:c r="Y30" s="19" t="str">
        <x:v>PSI</x:v>
      </x:c>
      <x:c r="Z30" s="42" t="n">
        <x:v>900</x:v>
      </x:c>
      <x:c r="AA30" s="42" t="n">
        <x:v>900</x:v>
      </x:c>
      <x:c r="AB30" s="42" t="n">
        <x:v>9</x:v>
      </x:c>
      <x:c r="AC30" s="42" t="n">
        <x:v>9</x:v>
      </x:c>
      <x:c r="AD30" s="42" t="n">
        <x:v>130.5</x:v>
      </x:c>
      <x:c r="AE30" s="42" t="n">
        <x:v>130.5</x:v>
      </x:c>
      <x:c r="AF30" s="19" t="str">
        <x:v>verified</x:v>
      </x:c>
      <x:c r="AG30" s="19" t="n">
        <x:v>3750</x:v>
      </x:c>
      <x:c r="AH30" s="19" t="n">
        <x:v>3350</x:v>
      </x:c>
      <x:c r="AI30" s="19" t="str">
        <x:v>LBS</x:v>
      </x:c>
      <x:c r="AJ30" s="42" t="n">
        <x:v>3750</x:v>
      </x:c>
      <x:c r="AK30" s="42" t="n">
        <x:v>3350</x:v>
      </x:c>
      <x:c r="AL30" s="42" t="n">
        <x:v>8267</x:v>
      </x:c>
      <x:c r="AM30" s="42" t="n">
        <x:v>7385</x:v>
      </x:c>
      <x:c r="AN30" s="19" t="str">
        <x:v>verified</x:v>
      </x:c>
      <x:c r="AO30" s="18" t="n">
        <x:v>154</x:v>
      </x:c>
      <x:c r="AP30" s="18" t="n">
        <x:v>150</x:v>
      </x:c>
      <x:c r="AQ30" s="19" t="str">
        <x:v>154 / 150</x:v>
      </x:c>
      <x:c r="AR30" s="18"/>
      <x:c r="AS30" s="18" t="str">
        <x:v>L</x:v>
      </x:c>
      <x:c r="AT30" s="18"/>
      <x:c r="AU30" s="19" t="str">
        <x:v>154/150 L</x:v>
      </x:c>
      <x:c r="AV30" s="19" t="str">
        <x:v>verified</x:v>
      </x:c>
      <x:c r="AW30" s="39" t="n">
        <x:v>1020</x:v>
      </x:c>
      <x:c r="AX30" s="19" t="n">
        <x:v>40</x:v>
      </x:c>
      <x:c r="AY30" s="42" t="n">
        <x:v>40.16</x:v>
      </x:c>
      <x:c r="AZ30" s="39" t="n">
        <x:v>312</x:v>
      </x:c>
      <x:c r="BA30" s="19" t="n">
        <x:v>12</x:v>
      </x:c>
      <x:c r="BB30" s="42" t="n">
        <x:v>12.28</x:v>
      </x:c>
      <x:c r="BC30" s="18" t="str">
        <x:v>["steer","drive","trailer"]</x:v>
      </x:c>
      <x:c r="BD30" s="18" t="str">
        <x:v>["winter","snow-mud"]</x:v>
      </x:c>
      <x:c r="BE30" s="18" t="str">
        <x:v>["wet-grip","safety","retreadability"]</x:v>
      </x:c>
      <x:c r="BF30" s="18" t="str">
        <x:v>tbr</x:v>
      </x:c>
      <x:c r="BG30" s="18" t="str">
        <x:v>BIZON-MODEL-DWD100</x:v>
      </x:c>
      <x:c r="BH30" s="19" t="str">
        <x:v>DOUBLESTAR COMBODIA TBR CATALOGUE.pdf</x:v>
      </x:c>
      <x:c r="BI30" s="19" t="n">
        <x:v>6</x:v>
      </x:c>
      <x:c r="BJ30" s="19" t="n">
        <x:v>1</x:v>
      </x:c>
      <x:c r="BK30" s="19" t="str">
        <x:v>verified</x:v>
      </x:c>
      <x:c r="BL30" s="18" t="str">
        <x:v>[]</x:v>
      </x:c>
      <x:c r="BM30" s="28" t="b">
        <x:v>0</x:v>
      </x:c>
      <x:c r="BN30" s="18" t="str">
        <x:v>Грузовая шина BIZON DWD100 для зимней и эксплуатации по снегу и грязи эксплуатации.</x:v>
      </x:c>
      <x:c r="BO30" s="18" t="str">
        <x:v>Модель BIZON DWD100. Позиция установки по каталогу: All position. Основные заявленные свойства: Сцепление на мокрой дороге; Безопасность; Восстанавливаемость.</x:v>
      </x:c>
    </x:row>
    <x:row r="31">
      <x:c r="A31" s="20" t="str">
        <x:v>BIZON-VAR-DWD100-31580R225-18PR</x:v>
      </x:c>
      <x:c r="B31" s="20" t="str">
        <x:v>BIZON-MODEL-DWD100</x:v>
      </x:c>
      <x:c r="C31" s="20" t="str">
        <x:v>BIZON</x:v>
      </x:c>
      <x:c r="D31" s="19" t="str">
        <x:v>DOUBLESTAR</x:v>
      </x:c>
      <x:c r="E31" s="20" t="str">
        <x:v>TBR</x:v>
      </x:c>
      <x:c r="F31" s="20" t="str">
        <x:v>DWD100</x:v>
      </x:c>
      <x:c r="G31" s="20" t="str">
        <x:v>dwd100</x:v>
      </x:c>
      <x:c r="H31" s="20" t="str">
        <x:v>BIZON DWD100</x:v>
      </x:c>
      <x:c r="I31" s="20" t="str">
        <x:v>draft</x:v>
      </x:c>
      <x:c r="J31" s="19" t="str">
        <x:v>verified</x:v>
      </x:c>
      <x:c r="K31" s="19" t="str">
        <x:v>315/80R22.5</x:v>
      </x:c>
      <x:c r="L31" s="20" t="str">
        <x:v>315/80R22.5</x:v>
      </x:c>
      <x:c r="M31" s="20" t="str">
        <x:v>metric</x:v>
      </x:c>
      <x:c r="N31" s="44" t="n">
        <x:v>315</x:v>
      </x:c>
      <x:c r="O31" s="44"/>
      <x:c r="P31" s="45" t="n">
        <x:v>80</x:v>
      </x:c>
      <x:c r="Q31" s="20" t="str">
        <x:v>R</x:v>
      </x:c>
      <x:c r="R31" s="44" t="n">
        <x:v>22.5</x:v>
      </x:c>
      <x:c r="S31" s="20" t="n">
        <x:v>18</x:v>
      </x:c>
      <x:c r="T31" s="44" t="n">
        <x:v>18.5</x:v>
      </x:c>
      <x:c r="U31" s="41" t="n">
        <x:v>23</x:v>
      </x:c>
      <x:c r="V31" s="44" t="n">
        <x:v>9</x:v>
      </x:c>
      <x:c r="W31" s="19" t="n">
        <x:v>830</x:v>
      </x:c>
      <x:c r="X31" s="19" t="n">
        <x:v>830</x:v>
      </x:c>
      <x:c r="Y31" s="19" t="str">
        <x:v>PSI</x:v>
      </x:c>
      <x:c r="Z31" s="42" t="n">
        <x:v>830</x:v>
      </x:c>
      <x:c r="AA31" s="42" t="n">
        <x:v>830</x:v>
      </x:c>
      <x:c r="AB31" s="42" t="n">
        <x:v>8.3</x:v>
      </x:c>
      <x:c r="AC31" s="42" t="n">
        <x:v>8.3</x:v>
      </x:c>
      <x:c r="AD31" s="42" t="n">
        <x:v>120.4</x:v>
      </x:c>
      <x:c r="AE31" s="42" t="n">
        <x:v>120.4</x:v>
      </x:c>
      <x:c r="AF31" s="19" t="str">
        <x:v>verified</x:v>
      </x:c>
      <x:c r="AG31" s="19" t="n">
        <x:v>3750</x:v>
      </x:c>
      <x:c r="AH31" s="19" t="n">
        <x:v>3450</x:v>
      </x:c>
      <x:c r="AI31" s="19" t="str">
        <x:v>LBS</x:v>
      </x:c>
      <x:c r="AJ31" s="42" t="n">
        <x:v>3750</x:v>
      </x:c>
      <x:c r="AK31" s="42" t="n">
        <x:v>3450</x:v>
      </x:c>
      <x:c r="AL31" s="42" t="n">
        <x:v>8267</x:v>
      </x:c>
      <x:c r="AM31" s="42" t="n">
        <x:v>7606</x:v>
      </x:c>
      <x:c r="AN31" s="19" t="str">
        <x:v>verified</x:v>
      </x:c>
      <x:c r="AO31" s="20" t="n">
        <x:v>154</x:v>
      </x:c>
      <x:c r="AP31" s="20" t="n">
        <x:v>151</x:v>
      </x:c>
      <x:c r="AQ31" s="19" t="str">
        <x:v>154 / 151</x:v>
      </x:c>
      <x:c r="AR31" s="20"/>
      <x:c r="AS31" s="20" t="str">
        <x:v>M</x:v>
      </x:c>
      <x:c r="AT31" s="20"/>
      <x:c r="AU31" s="19" t="str">
        <x:v>154/151 M</x:v>
      </x:c>
      <x:c r="AV31" s="19" t="str">
        <x:v>verified</x:v>
      </x:c>
      <x:c r="AW31" s="44" t="n">
        <x:v>1076</x:v>
      </x:c>
      <x:c r="AX31" s="19" t="n">
        <x:v>42</x:v>
      </x:c>
      <x:c r="AY31" s="42" t="n">
        <x:v>42.36</x:v>
      </x:c>
      <x:c r="AZ31" s="44" t="n">
        <x:v>312</x:v>
      </x:c>
      <x:c r="BA31" s="19" t="n">
        <x:v>12</x:v>
      </x:c>
      <x:c r="BB31" s="42" t="n">
        <x:v>12.28</x:v>
      </x:c>
      <x:c r="BC31" s="20" t="str">
        <x:v>["steer","drive","trailer"]</x:v>
      </x:c>
      <x:c r="BD31" s="20" t="str">
        <x:v>["winter","snow-mud"]</x:v>
      </x:c>
      <x:c r="BE31" s="20" t="str">
        <x:v>["wet-grip","safety","retreadability"]</x:v>
      </x:c>
      <x:c r="BF31" s="20" t="str">
        <x:v>tbr</x:v>
      </x:c>
      <x:c r="BG31" s="20" t="str">
        <x:v>BIZON-MODEL-DWD100</x:v>
      </x:c>
      <x:c r="BH31" s="19" t="str">
        <x:v>DOUBLESTAR COMBODIA TBR CATALOGUE.pdf</x:v>
      </x:c>
      <x:c r="BI31" s="19" t="n">
        <x:v>6</x:v>
      </x:c>
      <x:c r="BJ31" s="19" t="n">
        <x:v>2</x:v>
      </x:c>
      <x:c r="BK31" s="19" t="str">
        <x:v>verified</x:v>
      </x:c>
      <x:c r="BL31" s="20" t="str">
        <x:v>[]</x:v>
      </x:c>
      <x:c r="BM31" s="31" t="b">
        <x:v>0</x:v>
      </x:c>
      <x:c r="BN31" s="20" t="str">
        <x:v>Грузовая шина BIZON DWD100 для зимней и эксплуатации по снегу и грязи эксплуатации.</x:v>
      </x:c>
      <x:c r="BO31" s="20" t="str">
        <x:v>Модель BIZON DWD100. Позиция установки по каталогу: All position. Основные заявленные свойства: Сцепление на мокрой дороге; Безопасность; Восстанавливаемость.</x:v>
      </x:c>
    </x:row>
    <x:row r="32">
      <x:c r="A32" s="18" t="str">
        <x:v>BIZON-VAR-DLD809-29580R225-18PR</x:v>
      </x:c>
      <x:c r="B32" s="18" t="str">
        <x:v>BIZON-MODEL-DLD809</x:v>
      </x:c>
      <x:c r="C32" s="18" t="str">
        <x:v>BIZON</x:v>
      </x:c>
      <x:c r="D32" s="19" t="str">
        <x:v>DOUBLESTAR</x:v>
      </x:c>
      <x:c r="E32" s="18" t="str">
        <x:v>TBR</x:v>
      </x:c>
      <x:c r="F32" s="18" t="str">
        <x:v>DLD809</x:v>
      </x:c>
      <x:c r="G32" s="18" t="str">
        <x:v>dld809</x:v>
      </x:c>
      <x:c r="H32" s="18" t="str">
        <x:v>BIZON DLD809</x:v>
      </x:c>
      <x:c r="I32" s="18" t="str">
        <x:v>draft</x:v>
      </x:c>
      <x:c r="J32" s="19" t="str">
        <x:v>verified</x:v>
      </x:c>
      <x:c r="K32" s="19" t="str">
        <x:v>295/80R22.5</x:v>
      </x:c>
      <x:c r="L32" s="18" t="str">
        <x:v>295/80R22.5</x:v>
      </x:c>
      <x:c r="M32" s="18" t="str">
        <x:v>metric</x:v>
      </x:c>
      <x:c r="N32" s="39" t="n">
        <x:v>295</x:v>
      </x:c>
      <x:c r="O32" s="39"/>
      <x:c r="P32" s="40" t="n">
        <x:v>80</x:v>
      </x:c>
      <x:c r="Q32" s="18" t="str">
        <x:v>R</x:v>
      </x:c>
      <x:c r="R32" s="39" t="n">
        <x:v>22.5</x:v>
      </x:c>
      <x:c r="S32" s="18" t="n">
        <x:v>18</x:v>
      </x:c>
      <x:c r="T32" s="39" t="n">
        <x:v>18.5</x:v>
      </x:c>
      <x:c r="U32" s="41" t="n">
        <x:v>23</x:v>
      </x:c>
      <x:c r="V32" s="39" t="n">
        <x:v>9</x:v>
      </x:c>
      <x:c r="W32" s="19" t="n">
        <x:v>900</x:v>
      </x:c>
      <x:c r="X32" s="19" t="n">
        <x:v>900</x:v>
      </x:c>
      <x:c r="Y32" s="19" t="str">
        <x:v>PSI</x:v>
      </x:c>
      <x:c r="Z32" s="42" t="n">
        <x:v>900</x:v>
      </x:c>
      <x:c r="AA32" s="42" t="n">
        <x:v>900</x:v>
      </x:c>
      <x:c r="AB32" s="42" t="n">
        <x:v>9</x:v>
      </x:c>
      <x:c r="AC32" s="42" t="n">
        <x:v>9</x:v>
      </x:c>
      <x:c r="AD32" s="42" t="n">
        <x:v>130.5</x:v>
      </x:c>
      <x:c r="AE32" s="42" t="n">
        <x:v>130.5</x:v>
      </x:c>
      <x:c r="AF32" s="19" t="str">
        <x:v>verified</x:v>
      </x:c>
      <x:c r="AG32" s="19" t="n">
        <x:v>3550</x:v>
      </x:c>
      <x:c r="AH32" s="19" t="n">
        <x:v>3250</x:v>
      </x:c>
      <x:c r="AI32" s="19" t="str">
        <x:v>LBS</x:v>
      </x:c>
      <x:c r="AJ32" s="42" t="n">
        <x:v>3550</x:v>
      </x:c>
      <x:c r="AK32" s="42" t="n">
        <x:v>3250</x:v>
      </x:c>
      <x:c r="AL32" s="42" t="n">
        <x:v>7826</x:v>
      </x:c>
      <x:c r="AM32" s="42" t="n">
        <x:v>7165</x:v>
      </x:c>
      <x:c r="AN32" s="19" t="str">
        <x:v>verified</x:v>
      </x:c>
      <x:c r="AO32" s="18" t="n">
        <x:v>152</x:v>
      </x:c>
      <x:c r="AP32" s="18" t="n">
        <x:v>149</x:v>
      </x:c>
      <x:c r="AQ32" s="19" t="str">
        <x:v>152 / 149</x:v>
      </x:c>
      <x:c r="AR32" s="18"/>
      <x:c r="AS32" s="18" t="str">
        <x:v>M</x:v>
      </x:c>
      <x:c r="AT32" s="18"/>
      <x:c r="AU32" s="19" t="str">
        <x:v>152/149 M</x:v>
      </x:c>
      <x:c r="AV32" s="19" t="str">
        <x:v>verified</x:v>
      </x:c>
      <x:c r="AW32" s="39" t="n">
        <x:v>1044</x:v>
      </x:c>
      <x:c r="AX32" s="19" t="n">
        <x:v>41</x:v>
      </x:c>
      <x:c r="AY32" s="42" t="n">
        <x:v>41.1</x:v>
      </x:c>
      <x:c r="AZ32" s="39" t="n">
        <x:v>298</x:v>
      </x:c>
      <x:c r="BA32" s="19" t="n">
        <x:v>12</x:v>
      </x:c>
      <x:c r="BB32" s="42" t="n">
        <x:v>11.73</x:v>
      </x:c>
      <x:c r="BC32" s="18" t="str">
        <x:v>["drive"]</x:v>
      </x:c>
      <x:c r="BD32" s="18" t="str">
        <x:v>["long-haul","winter"]</x:v>
      </x:c>
      <x:c r="BE32" s="18" t="str">
        <x:v>["high-mileage","wet-grip","heavy-load"]</x:v>
      </x:c>
      <x:c r="BF32" s="18" t="str">
        <x:v>tbr</x:v>
      </x:c>
      <x:c r="BG32" s="18" t="str">
        <x:v>BIZON-MODEL-DLD809</x:v>
      </x:c>
      <x:c r="BH32" s="19" t="str">
        <x:v>DOUBLESTAR COMBODIA TBR CATALOGUE.pdf</x:v>
      </x:c>
      <x:c r="BI32" s="19" t="n">
        <x:v>6</x:v>
      </x:c>
      <x:c r="BJ32" s="19" t="n">
        <x:v>1</x:v>
      </x:c>
      <x:c r="BK32" s="19" t="str">
        <x:v>verified</x:v>
      </x:c>
      <x:c r="BL32" s="18" t="str">
        <x:v>[]</x:v>
      </x:c>
      <x:c r="BM32" s="28" t="b">
        <x:v>0</x:v>
      </x:c>
      <x:c r="BN32" s="18" t="str">
        <x:v>Грузовая шина BIZON DLD809 для магистральной и зимней эксплуатации.</x:v>
      </x:c>
      <x:c r="BO32" s="18" t="str">
        <x:v>Модель BIZON DLD809. Позиция установки по каталогу: Drive. Основные заявленные свойства: Высокий пробег; Сцепление на мокрой дороге; Высокая грузоподъёмность.</x:v>
      </x:c>
    </x:row>
    <x:row r="33">
      <x:c r="A33" s="20" t="str">
        <x:v>BIZON-VAR-D930-27570R225-18PR</x:v>
      </x:c>
      <x:c r="B33" s="20" t="str">
        <x:v>BIZON-MODEL-D930</x:v>
      </x:c>
      <x:c r="C33" s="20" t="str">
        <x:v>BIZON</x:v>
      </x:c>
      <x:c r="D33" s="19" t="str">
        <x:v>DOUBLESTAR</x:v>
      </x:c>
      <x:c r="E33" s="20" t="str">
        <x:v>TBR</x:v>
      </x:c>
      <x:c r="F33" s="20" t="str">
        <x:v>D930</x:v>
      </x:c>
      <x:c r="G33" s="20" t="str">
        <x:v>d930</x:v>
      </x:c>
      <x:c r="H33" s="20" t="str">
        <x:v>BIZON D930</x:v>
      </x:c>
      <x:c r="I33" s="20" t="str">
        <x:v>draft</x:v>
      </x:c>
      <x:c r="J33" s="19" t="str">
        <x:v>verified</x:v>
      </x:c>
      <x:c r="K33" s="19" t="str">
        <x:v>275/70R22.5</x:v>
      </x:c>
      <x:c r="L33" s="20" t="str">
        <x:v>275/70R22.5</x:v>
      </x:c>
      <x:c r="M33" s="20" t="str">
        <x:v>metric</x:v>
      </x:c>
      <x:c r="N33" s="44" t="n">
        <x:v>275</x:v>
      </x:c>
      <x:c r="O33" s="44"/>
      <x:c r="P33" s="45" t="n">
        <x:v>70</x:v>
      </x:c>
      <x:c r="Q33" s="20" t="str">
        <x:v>R</x:v>
      </x:c>
      <x:c r="R33" s="44" t="n">
        <x:v>22.5</x:v>
      </x:c>
      <x:c r="S33" s="20" t="n">
        <x:v>18</x:v>
      </x:c>
      <x:c r="T33" s="44" t="n">
        <x:v>22</x:v>
      </x:c>
      <x:c r="U33" s="41" t="n">
        <x:v>28</x:v>
      </x:c>
      <x:c r="V33" s="44" t="n">
        <x:v>8.25</x:v>
      </x:c>
      <x:c r="W33" s="19" t="n">
        <x:v>900</x:v>
      </x:c>
      <x:c r="X33" s="19" t="n">
        <x:v>900</x:v>
      </x:c>
      <x:c r="Y33" s="19" t="str">
        <x:v>PSI</x:v>
      </x:c>
      <x:c r="Z33" s="42" t="n">
        <x:v>900</x:v>
      </x:c>
      <x:c r="AA33" s="42" t="n">
        <x:v>900</x:v>
      </x:c>
      <x:c r="AB33" s="42" t="n">
        <x:v>9</x:v>
      </x:c>
      <x:c r="AC33" s="42" t="n">
        <x:v>9</x:v>
      </x:c>
      <x:c r="AD33" s="42" t="n">
        <x:v>130.5</x:v>
      </x:c>
      <x:c r="AE33" s="42" t="n">
        <x:v>130.5</x:v>
      </x:c>
      <x:c r="AF33" s="19" t="str">
        <x:v>verified</x:v>
      </x:c>
      <x:c r="AG33" s="19" t="n">
        <x:v>3550</x:v>
      </x:c>
      <x:c r="AH33" s="19" t="n">
        <x:v>3150</x:v>
      </x:c>
      <x:c r="AI33" s="19" t="str">
        <x:v>LBS</x:v>
      </x:c>
      <x:c r="AJ33" s="42" t="n">
        <x:v>3550</x:v>
      </x:c>
      <x:c r="AK33" s="42" t="n">
        <x:v>3150</x:v>
      </x:c>
      <x:c r="AL33" s="42" t="n">
        <x:v>7826</x:v>
      </x:c>
      <x:c r="AM33" s="42" t="n">
        <x:v>6945</x:v>
      </x:c>
      <x:c r="AN33" s="19" t="str">
        <x:v>verified</x:v>
      </x:c>
      <x:c r="AO33" s="20" t="n">
        <x:v>152</x:v>
      </x:c>
      <x:c r="AP33" s="20" t="n">
        <x:v>148</x:v>
      </x:c>
      <x:c r="AQ33" s="19" t="str">
        <x:v>152 / 148</x:v>
      </x:c>
      <x:c r="AR33" s="20"/>
      <x:c r="AS33" s="20" t="str">
        <x:v>J</x:v>
      </x:c>
      <x:c r="AT33" s="20"/>
      <x:c r="AU33" s="19" t="str">
        <x:v>152/148 J</x:v>
      </x:c>
      <x:c r="AV33" s="19" t="str">
        <x:v>verified</x:v>
      </x:c>
      <x:c r="AW33" s="44" t="n">
        <x:v>958</x:v>
      </x:c>
      <x:c r="AX33" s="19" t="n">
        <x:v>38</x:v>
      </x:c>
      <x:c r="AY33" s="42" t="n">
        <x:v>37.72</x:v>
      </x:c>
      <x:c r="AZ33" s="44" t="n">
        <x:v>276</x:v>
      </x:c>
      <x:c r="BA33" s="19" t="n">
        <x:v>11</x:v>
      </x:c>
      <x:c r="BB33" s="42" t="n">
        <x:v>10.87</x:v>
      </x:c>
      <x:c r="BC33" s="20" t="str">
        <x:v>["steer","drive","trailer"]</x:v>
      </x:c>
      <x:c r="BD33" s="20" t="str">
        <x:v>["urban"]</x:v>
      </x:c>
      <x:c r="BE33" s="20" t="str">
        <x:v>["high-mileage","safety","handling","short-braking-distance"]</x:v>
      </x:c>
      <x:c r="BF33" s="20" t="str">
        <x:v>tbr</x:v>
      </x:c>
      <x:c r="BG33" s="20" t="str">
        <x:v>BIZON-MODEL-D930</x:v>
      </x:c>
      <x:c r="BH33" s="19" t="str">
        <x:v>DOUBLESTAR COMBODIA TBR CATALOGUE.pdf</x:v>
      </x:c>
      <x:c r="BI33" s="19" t="n">
        <x:v>6</x:v>
      </x:c>
      <x:c r="BJ33" s="19" t="n">
        <x:v>1</x:v>
      </x:c>
      <x:c r="BK33" s="19" t="str">
        <x:v>verified</x:v>
      </x:c>
      <x:c r="BL33" s="20" t="str">
        <x:v>[]</x:v>
      </x:c>
      <x:c r="BM33" s="31" t="b">
        <x:v>0</x:v>
      </x:c>
      <x:c r="BN33" s="20" t="str">
        <x:v>Грузовая шина BIZON D930 для городской эксплуатации.</x:v>
      </x:c>
      <x:c r="BO33" s="20" t="str">
        <x:v>Модель BIZON D930. Позиция установки по каталогу: All position. Основные заявленные свойства: Высокий пробег; Безопасность; Управляемость; Короткий тормозной путь.</x:v>
      </x:c>
    </x:row>
    <x:row r="34">
      <x:c r="A34" s="18" t="str">
        <x:v>BIZON-VAR-DMA808-31580R225-22PR</x:v>
      </x:c>
      <x:c r="B34" s="18" t="str">
        <x:v>BIZON-MODEL-DMA808</x:v>
      </x:c>
      <x:c r="C34" s="18" t="str">
        <x:v>BIZON</x:v>
      </x:c>
      <x:c r="D34" s="19" t="str">
        <x:v>DOUBLESTAR</x:v>
      </x:c>
      <x:c r="E34" s="18" t="str">
        <x:v>TBR</x:v>
      </x:c>
      <x:c r="F34" s="18" t="str">
        <x:v>DMA808</x:v>
      </x:c>
      <x:c r="G34" s="18" t="str">
        <x:v>dma808</x:v>
      </x:c>
      <x:c r="H34" s="18" t="str">
        <x:v>BIZON DMA808</x:v>
      </x:c>
      <x:c r="I34" s="18" t="str">
        <x:v>draft</x:v>
      </x:c>
      <x:c r="J34" s="19" t="str">
        <x:v>verified</x:v>
      </x:c>
      <x:c r="K34" s="19" t="str">
        <x:v>315/80R22.5</x:v>
      </x:c>
      <x:c r="L34" s="18" t="str">
        <x:v>315/80R22.5</x:v>
      </x:c>
      <x:c r="M34" s="18" t="str">
        <x:v>metric</x:v>
      </x:c>
      <x:c r="N34" s="39" t="n">
        <x:v>315</x:v>
      </x:c>
      <x:c r="O34" s="39"/>
      <x:c r="P34" s="40" t="n">
        <x:v>80</x:v>
      </x:c>
      <x:c r="Q34" s="18" t="str">
        <x:v>R</x:v>
      </x:c>
      <x:c r="R34" s="39" t="n">
        <x:v>22.5</x:v>
      </x:c>
      <x:c r="S34" s="18" t="n">
        <x:v>22</x:v>
      </x:c>
      <x:c r="T34" s="39" t="n">
        <x:v>16.5</x:v>
      </x:c>
      <x:c r="U34" s="41" t="n">
        <x:v>20</x:v>
      </x:c>
      <x:c r="V34" s="39" t="n">
        <x:v>9</x:v>
      </x:c>
      <x:c r="W34" s="19" t="n">
        <x:v>900</x:v>
      </x:c>
      <x:c r="X34" s="19" t="n">
        <x:v>900</x:v>
      </x:c>
      <x:c r="Y34" s="19" t="str">
        <x:v>PSI</x:v>
      </x:c>
      <x:c r="Z34" s="42" t="n">
        <x:v>900</x:v>
      </x:c>
      <x:c r="AA34" s="42" t="n">
        <x:v>900</x:v>
      </x:c>
      <x:c r="AB34" s="42" t="n">
        <x:v>9</x:v>
      </x:c>
      <x:c r="AC34" s="42" t="n">
        <x:v>9</x:v>
      </x:c>
      <x:c r="AD34" s="42" t="n">
        <x:v>130.5</x:v>
      </x:c>
      <x:c r="AE34" s="42" t="n">
        <x:v>130.5</x:v>
      </x:c>
      <x:c r="AF34" s="19" t="str">
        <x:v>verified</x:v>
      </x:c>
      <x:c r="AG34" s="19" t="n">
        <x:v>4250</x:v>
      </x:c>
      <x:c r="AH34" s="19" t="n">
        <x:v>4000</x:v>
      </x:c>
      <x:c r="AI34" s="19" t="str">
        <x:v>LBS</x:v>
      </x:c>
      <x:c r="AJ34" s="42" t="n">
        <x:v>4250</x:v>
      </x:c>
      <x:c r="AK34" s="42" t="n">
        <x:v>4000</x:v>
      </x:c>
      <x:c r="AL34" s="42" t="n">
        <x:v>9370</x:v>
      </x:c>
      <x:c r="AM34" s="42" t="n">
        <x:v>8818</x:v>
      </x:c>
      <x:c r="AN34" s="19" t="str">
        <x:v>verified</x:v>
      </x:c>
      <x:c r="AO34" s="18" t="n">
        <x:v>158</x:v>
      </x:c>
      <x:c r="AP34" s="18" t="n">
        <x:v>156</x:v>
      </x:c>
      <x:c r="AQ34" s="19" t="str">
        <x:v>158 / 156</x:v>
      </x:c>
      <x:c r="AR34" s="18"/>
      <x:c r="AS34" s="18" t="str">
        <x:v>L</x:v>
      </x:c>
      <x:c r="AT34" s="18"/>
      <x:c r="AU34" s="19" t="str">
        <x:v>158/156 L</x:v>
      </x:c>
      <x:c r="AV34" s="19" t="str">
        <x:v>verified</x:v>
      </x:c>
      <x:c r="AW34" s="39" t="n">
        <x:v>1076</x:v>
      </x:c>
      <x:c r="AX34" s="19" t="n">
        <x:v>42</x:v>
      </x:c>
      <x:c r="AY34" s="42" t="n">
        <x:v>42.36</x:v>
      </x:c>
      <x:c r="AZ34" s="39" t="n">
        <x:v>312</x:v>
      </x:c>
      <x:c r="BA34" s="19" t="n">
        <x:v>12</x:v>
      </x:c>
      <x:c r="BB34" s="42" t="n">
        <x:v>12.28</x:v>
      </x:c>
      <x:c r="BC34" s="18" t="str">
        <x:v>["steer","drive","trailer"]</x:v>
      </x:c>
      <x:c r="BD34" s="18" t="str">
        <x:v>["regional"]</x:v>
      </x:c>
      <x:c r="BE34" s="18" t="str">
        <x:v>["anti-tear","heavy-load","cut-resistance"]</x:v>
      </x:c>
      <x:c r="BF34" s="18" t="str">
        <x:v>tbr</x:v>
      </x:c>
      <x:c r="BG34" s="18" t="str">
        <x:v>BIZON-MODEL-DMA808</x:v>
      </x:c>
      <x:c r="BH34" s="19" t="str">
        <x:v>DOUBLESTAR COMBODIA TBR CATALOGUE.pdf</x:v>
      </x:c>
      <x:c r="BI34" s="19" t="n">
        <x:v>7</x:v>
      </x:c>
      <x:c r="BJ34" s="19" t="n">
        <x:v>1</x:v>
      </x:c>
      <x:c r="BK34" s="19" t="str">
        <x:v>verified</x:v>
      </x:c>
      <x:c r="BL34" s="18" t="str">
        <x:v>[]</x:v>
      </x:c>
      <x:c r="BM34" s="28" t="b">
        <x:v>0</x:v>
      </x:c>
      <x:c r="BN34" s="18" t="str">
        <x:v>Грузовая шина BIZON DMA808 для региональной эксплуатации.</x:v>
      </x:c>
      <x:c r="BO34" s="18" t="str">
        <x:v>Модель BIZON DMA808. Позиция установки по каталогу: All position. Основные заявленные свойства: Стойкость к разрывам; Высокая грузоподъёмность; Стойкость к порезам.</x:v>
      </x:c>
    </x:row>
    <x:row r="35">
      <x:c r="A35" s="20" t="str">
        <x:v>BIZON-VAR-DSRD22-31580R225-22PR</x:v>
      </x:c>
      <x:c r="B35" s="20" t="str">
        <x:v>BIZON-MODEL-DSRD22</x:v>
      </x:c>
      <x:c r="C35" s="20" t="str">
        <x:v>BIZON</x:v>
      </x:c>
      <x:c r="D35" s="19" t="str">
        <x:v>DOUBLESTAR</x:v>
      </x:c>
      <x:c r="E35" s="20" t="str">
        <x:v>TBR</x:v>
      </x:c>
      <x:c r="F35" s="20" t="str">
        <x:v>DSRD22</x:v>
      </x:c>
      <x:c r="G35" s="20" t="str">
        <x:v>dsrd22</x:v>
      </x:c>
      <x:c r="H35" s="20" t="str">
        <x:v>BIZON DSRD22</x:v>
      </x:c>
      <x:c r="I35" s="20" t="str">
        <x:v>draft</x:v>
      </x:c>
      <x:c r="J35" s="19" t="str">
        <x:v>verified</x:v>
      </x:c>
      <x:c r="K35" s="19" t="str">
        <x:v>315/80R22.5</x:v>
      </x:c>
      <x:c r="L35" s="20" t="str">
        <x:v>315/80R22.5</x:v>
      </x:c>
      <x:c r="M35" s="20" t="str">
        <x:v>metric</x:v>
      </x:c>
      <x:c r="N35" s="44" t="n">
        <x:v>315</x:v>
      </x:c>
      <x:c r="O35" s="44"/>
      <x:c r="P35" s="45" t="n">
        <x:v>80</x:v>
      </x:c>
      <x:c r="Q35" s="20" t="str">
        <x:v>R</x:v>
      </x:c>
      <x:c r="R35" s="44" t="n">
        <x:v>22.5</x:v>
      </x:c>
      <x:c r="S35" s="20" t="n">
        <x:v>22</x:v>
      </x:c>
      <x:c r="T35" s="44" t="n">
        <x:v>22</x:v>
      </x:c>
      <x:c r="U35" s="41" t="n">
        <x:v>28</x:v>
      </x:c>
      <x:c r="V35" s="44" t="n">
        <x:v>9</x:v>
      </x:c>
      <x:c r="W35" s="19" t="n">
        <x:v>900</x:v>
      </x:c>
      <x:c r="X35" s="19" t="n">
        <x:v>900</x:v>
      </x:c>
      <x:c r="Y35" s="19" t="str">
        <x:v>PSI</x:v>
      </x:c>
      <x:c r="Z35" s="42" t="n">
        <x:v>900</x:v>
      </x:c>
      <x:c r="AA35" s="42" t="n">
        <x:v>900</x:v>
      </x:c>
      <x:c r="AB35" s="42" t="n">
        <x:v>9</x:v>
      </x:c>
      <x:c r="AC35" s="42" t="n">
        <x:v>9</x:v>
      </x:c>
      <x:c r="AD35" s="42" t="n">
        <x:v>130.5</x:v>
      </x:c>
      <x:c r="AE35" s="42" t="n">
        <x:v>130.5</x:v>
      </x:c>
      <x:c r="AF35" s="19" t="str">
        <x:v>verified</x:v>
      </x:c>
      <x:c r="AG35" s="19" t="n">
        <x:v>4250</x:v>
      </x:c>
      <x:c r="AH35" s="19" t="n">
        <x:v>4000</x:v>
      </x:c>
      <x:c r="AI35" s="19" t="str">
        <x:v>LBS</x:v>
      </x:c>
      <x:c r="AJ35" s="42" t="n">
        <x:v>4250</x:v>
      </x:c>
      <x:c r="AK35" s="42" t="n">
        <x:v>4000</x:v>
      </x:c>
      <x:c r="AL35" s="42" t="n">
        <x:v>9370</x:v>
      </x:c>
      <x:c r="AM35" s="42" t="n">
        <x:v>8818</x:v>
      </x:c>
      <x:c r="AN35" s="19" t="str">
        <x:v>verified</x:v>
      </x:c>
      <x:c r="AO35" s="20" t="n">
        <x:v>158</x:v>
      </x:c>
      <x:c r="AP35" s="20" t="n">
        <x:v>156</x:v>
      </x:c>
      <x:c r="AQ35" s="19" t="str">
        <x:v>158 / 156</x:v>
      </x:c>
      <x:c r="AR35" s="20"/>
      <x:c r="AS35" s="20" t="str">
        <x:v>K</x:v>
      </x:c>
      <x:c r="AT35" s="20"/>
      <x:c r="AU35" s="19" t="str">
        <x:v>158/156 K</x:v>
      </x:c>
      <x:c r="AV35" s="19" t="str">
        <x:v>verified</x:v>
      </x:c>
      <x:c r="AW35" s="44" t="n">
        <x:v>1076</x:v>
      </x:c>
      <x:c r="AX35" s="19" t="n">
        <x:v>42</x:v>
      </x:c>
      <x:c r="AY35" s="42" t="n">
        <x:v>42.36</x:v>
      </x:c>
      <x:c r="AZ35" s="44" t="n">
        <x:v>312</x:v>
      </x:c>
      <x:c r="BA35" s="19" t="n">
        <x:v>12</x:v>
      </x:c>
      <x:c r="BB35" s="42" t="n">
        <x:v>12.28</x:v>
      </x:c>
      <x:c r="BC35" s="20" t="str">
        <x:v>["drive"]</x:v>
      </x:c>
      <x:c r="BD35" s="20" t="str">
        <x:v>["regional"]</x:v>
      </x:c>
      <x:c r="BE35" s="20" t="str">
        <x:v>["economy","short-braking-distance","self-cleaning","low-rolling-resistance","stone-ejection"]</x:v>
      </x:c>
      <x:c r="BF35" s="20" t="str">
        <x:v>tbr</x:v>
      </x:c>
      <x:c r="BG35" s="20" t="str">
        <x:v>BIZON-MODEL-DSRD22</x:v>
      </x:c>
      <x:c r="BH35" s="19" t="str">
        <x:v>DOUBLESTAR COMBODIA TBR CATALOGUE.pdf</x:v>
      </x:c>
      <x:c r="BI35" s="19" t="n">
        <x:v>7</x:v>
      </x:c>
      <x:c r="BJ35" s="19" t="n">
        <x:v>1</x:v>
      </x:c>
      <x:c r="BK35" s="19" t="str">
        <x:v>verified</x:v>
      </x:c>
      <x:c r="BL35" s="20" t="str">
        <x:v>[]</x:v>
      </x:c>
      <x:c r="BM35" s="31" t="b">
        <x:v>0</x:v>
      </x:c>
      <x:c r="BN35" s="20" t="str">
        <x:v>Грузовая шина BIZON DSRD22 для региональной эксплуатации.</x:v>
      </x:c>
      <x:c r="BO35" s="20" t="str">
        <x:v>Модель BIZON DSRD22. Позиция установки по каталогу: Drive. Основные заявленные свойства: Экономичность; Короткий тормозной путь; Самоочищение; Низкое сопротивление качению; Удаление камней.</x:v>
      </x:c>
    </x:row>
    <x:row r="36">
      <x:c r="A36" s="18" t="str">
        <x:v>BIZON-VAR-D530-13R225-20PR</x:v>
      </x:c>
      <x:c r="B36" s="18" t="str">
        <x:v>BIZON-MODEL-D530</x:v>
      </x:c>
      <x:c r="C36" s="18" t="str">
        <x:v>BIZON</x:v>
      </x:c>
      <x:c r="D36" s="19" t="str">
        <x:v>DOUBLESTAR</x:v>
      </x:c>
      <x:c r="E36" s="18" t="str">
        <x:v>TBR</x:v>
      </x:c>
      <x:c r="F36" s="18" t="str">
        <x:v>D530</x:v>
      </x:c>
      <x:c r="G36" s="18" t="str">
        <x:v>d530</x:v>
      </x:c>
      <x:c r="H36" s="18" t="str">
        <x:v>BIZON D530</x:v>
      </x:c>
      <x:c r="I36" s="18" t="str">
        <x:v>draft</x:v>
      </x:c>
      <x:c r="J36" s="19" t="str">
        <x:v>verified</x:v>
      </x:c>
      <x:c r="K36" s="19" t="str">
        <x:v>13R22.5</x:v>
      </x:c>
      <x:c r="L36" s="18" t="str">
        <x:v>13R22.5</x:v>
      </x:c>
      <x:c r="M36" s="18" t="str">
        <x:v>imperial</x:v>
      </x:c>
      <x:c r="N36" s="39"/>
      <x:c r="O36" s="39" t="n">
        <x:v>13</x:v>
      </x:c>
      <x:c r="P36" s="40"/>
      <x:c r="Q36" s="18" t="str">
        <x:v>R</x:v>
      </x:c>
      <x:c r="R36" s="39" t="n">
        <x:v>22.5</x:v>
      </x:c>
      <x:c r="S36" s="18" t="n">
        <x:v>20</x:v>
      </x:c>
      <x:c r="T36" s="39" t="n">
        <x:v>21</x:v>
      </x:c>
      <x:c r="U36" s="41" t="n">
        <x:v>26</x:v>
      </x:c>
      <x:c r="V36" s="39" t="n">
        <x:v>9.75</x:v>
      </x:c>
      <x:c r="W36" s="19" t="n">
        <x:v>930</x:v>
      </x:c>
      <x:c r="X36" s="19" t="n">
        <x:v>930</x:v>
      </x:c>
      <x:c r="Y36" s="19" t="str">
        <x:v>PSI</x:v>
      </x:c>
      <x:c r="Z36" s="42" t="n">
        <x:v>930</x:v>
      </x:c>
      <x:c r="AA36" s="42" t="n">
        <x:v>930</x:v>
      </x:c>
      <x:c r="AB36" s="42" t="n">
        <x:v>9.3</x:v>
      </x:c>
      <x:c r="AC36" s="42" t="n">
        <x:v>9.3</x:v>
      </x:c>
      <x:c r="AD36" s="42" t="n">
        <x:v>134.9</x:v>
      </x:c>
      <x:c r="AE36" s="42" t="n">
        <x:v>134.9</x:v>
      </x:c>
      <x:c r="AF36" s="19" t="str">
        <x:v>verified</x:v>
      </x:c>
      <x:c r="AG36" s="19" t="n">
        <x:v>4000</x:v>
      </x:c>
      <x:c r="AH36" s="19" t="n">
        <x:v>3350</x:v>
      </x:c>
      <x:c r="AI36" s="19" t="str">
        <x:v>LBS</x:v>
      </x:c>
      <x:c r="AJ36" s="42" t="n">
        <x:v>4000</x:v>
      </x:c>
      <x:c r="AK36" s="42" t="n">
        <x:v>3350</x:v>
      </x:c>
      <x:c r="AL36" s="42" t="n">
        <x:v>8818</x:v>
      </x:c>
      <x:c r="AM36" s="42" t="n">
        <x:v>7385</x:v>
      </x:c>
      <x:c r="AN36" s="19" t="str">
        <x:v>verified</x:v>
      </x:c>
      <x:c r="AO36" s="18" t="n">
        <x:v>156</x:v>
      </x:c>
      <x:c r="AP36" s="18" t="n">
        <x:v>150</x:v>
      </x:c>
      <x:c r="AQ36" s="19" t="str">
        <x:v>156 / 150</x:v>
      </x:c>
      <x:c r="AR36" s="18"/>
      <x:c r="AS36" s="18" t="str">
        <x:v>G</x:v>
      </x:c>
      <x:c r="AT36" s="18"/>
      <x:c r="AU36" s="19" t="str">
        <x:v>156/150 G</x:v>
      </x:c>
      <x:c r="AV36" s="19" t="str">
        <x:v>verified</x:v>
      </x:c>
      <x:c r="AW36" s="39" t="n">
        <x:v>1124</x:v>
      </x:c>
      <x:c r="AX36" s="19" t="n">
        <x:v>44</x:v>
      </x:c>
      <x:c r="AY36" s="42" t="n">
        <x:v>44.25</x:v>
      </x:c>
      <x:c r="AZ36" s="39" t="n">
        <x:v>320</x:v>
      </x:c>
      <x:c r="BA36" s="19" t="n">
        <x:v>13</x:v>
      </x:c>
      <x:c r="BB36" s="42" t="n">
        <x:v>12.6</x:v>
      </x:c>
      <x:c r="BC36" s="18" t="str">
        <x:v>["steer","drive","trailer"]</x:v>
      </x:c>
      <x:c r="BD36" s="18" t="str">
        <x:v>["regional"]</x:v>
      </x:c>
      <x:c r="BE36" s="18" t="str">
        <x:v>["high-mileage","anti-wear","heavy-load","heat-dissipation","stone-ejection"]</x:v>
      </x:c>
      <x:c r="BF36" s="18" t="str">
        <x:v>tbr</x:v>
      </x:c>
      <x:c r="BG36" s="18" t="str">
        <x:v>BIZON-MODEL-D530</x:v>
      </x:c>
      <x:c r="BH36" s="19" t="str">
        <x:v>DOUBLESTAR COMBODIA TBR CATALOGUE.pdf</x:v>
      </x:c>
      <x:c r="BI36" s="19" t="n">
        <x:v>7</x:v>
      </x:c>
      <x:c r="BJ36" s="19" t="n">
        <x:v>1</x:v>
      </x:c>
      <x:c r="BK36" s="19" t="str">
        <x:v>verified</x:v>
      </x:c>
      <x:c r="BL36" s="18" t="str">
        <x:v>[]</x:v>
      </x:c>
      <x:c r="BM36" s="28" t="b">
        <x:v>0</x:v>
      </x:c>
      <x:c r="BN36" s="18" t="str">
        <x:v>Грузовая шина BIZON D530 для региональной эксплуатации.</x:v>
      </x:c>
      <x:c r="BO36" s="18" t="str">
        <x:v>Модель BIZON D530. Позиция установки по каталогу: All position. Основные заявленные свойства: Высокий пробег; Износостойкость; Высокая грузоподъёмность; Теплоотвод; Удаление камней.</x:v>
      </x:c>
    </x:row>
    <x:row r="37">
      <x:c r="A37" s="20" t="str">
        <x:v>BIZON-VAR-FIO628-13R225-20PR</x:v>
      </x:c>
      <x:c r="B37" s="20" t="str">
        <x:v>BIZON-MODEL-FIO628</x:v>
      </x:c>
      <x:c r="C37" s="20" t="str">
        <x:v>BIZON</x:v>
      </x:c>
      <x:c r="D37" s="19" t="str">
        <x:v>DOUBLESTAR</x:v>
      </x:c>
      <x:c r="E37" s="20" t="str">
        <x:v>TBR</x:v>
      </x:c>
      <x:c r="F37" s="20" t="str">
        <x:v>FIO628</x:v>
      </x:c>
      <x:c r="G37" s="20" t="str">
        <x:v>fio628</x:v>
      </x:c>
      <x:c r="H37" s="20" t="str">
        <x:v>BIZON FIO628</x:v>
      </x:c>
      <x:c r="I37" s="20" t="str">
        <x:v>draft</x:v>
      </x:c>
      <x:c r="J37" s="19" t="str">
        <x:v>verified</x:v>
      </x:c>
      <x:c r="K37" s="19" t="str">
        <x:v>13R22.5</x:v>
      </x:c>
      <x:c r="L37" s="20" t="str">
        <x:v>13R22.5</x:v>
      </x:c>
      <x:c r="M37" s="20" t="str">
        <x:v>imperial</x:v>
      </x:c>
      <x:c r="N37" s="44"/>
      <x:c r="O37" s="44" t="n">
        <x:v>13</x:v>
      </x:c>
      <x:c r="P37" s="45"/>
      <x:c r="Q37" s="20" t="str">
        <x:v>R</x:v>
      </x:c>
      <x:c r="R37" s="44" t="n">
        <x:v>22.5</x:v>
      </x:c>
      <x:c r="S37" s="20" t="n">
        <x:v>20</x:v>
      </x:c>
      <x:c r="T37" s="44" t="n">
        <x:v>21</x:v>
      </x:c>
      <x:c r="U37" s="41" t="n">
        <x:v>26</x:v>
      </x:c>
      <x:c r="V37" s="44" t="n">
        <x:v>9.75</x:v>
      </x:c>
      <x:c r="W37" s="19" t="n">
        <x:v>875</x:v>
      </x:c>
      <x:c r="X37" s="19" t="n">
        <x:v>875</x:v>
      </x:c>
      <x:c r="Y37" s="19" t="str">
        <x:v>PSI</x:v>
      </x:c>
      <x:c r="Z37" s="42" t="n">
        <x:v>875</x:v>
      </x:c>
      <x:c r="AA37" s="42" t="n">
        <x:v>875</x:v>
      </x:c>
      <x:c r="AB37" s="42" t="n">
        <x:v>8.8</x:v>
      </x:c>
      <x:c r="AC37" s="42" t="n">
        <x:v>8.8</x:v>
      </x:c>
      <x:c r="AD37" s="42" t="n">
        <x:v>126.9</x:v>
      </x:c>
      <x:c r="AE37" s="42" t="n">
        <x:v>126.9</x:v>
      </x:c>
      <x:c r="AF37" s="19" t="str">
        <x:v>verified</x:v>
      </x:c>
      <x:c r="AG37" s="19" t="n">
        <x:v>4000</x:v>
      </x:c>
      <x:c r="AH37" s="19" t="n">
        <x:v>3350</x:v>
      </x:c>
      <x:c r="AI37" s="19" t="str">
        <x:v>LBS</x:v>
      </x:c>
      <x:c r="AJ37" s="42" t="n">
        <x:v>4000</x:v>
      </x:c>
      <x:c r="AK37" s="42" t="n">
        <x:v>3350</x:v>
      </x:c>
      <x:c r="AL37" s="42" t="n">
        <x:v>8818</x:v>
      </x:c>
      <x:c r="AM37" s="42" t="n">
        <x:v>7385</x:v>
      </x:c>
      <x:c r="AN37" s="19" t="str">
        <x:v>verified</x:v>
      </x:c>
      <x:c r="AO37" s="20" t="n">
        <x:v>156</x:v>
      </x:c>
      <x:c r="AP37" s="20" t="n">
        <x:v>150</x:v>
      </x:c>
      <x:c r="AQ37" s="19" t="str">
        <x:v>156 / 150</x:v>
      </x:c>
      <x:c r="AR37" s="20"/>
      <x:c r="AS37" s="20" t="str">
        <x:v>G</x:v>
      </x:c>
      <x:c r="AT37" s="20"/>
      <x:c r="AU37" s="19" t="str">
        <x:v>156/150 G</x:v>
      </x:c>
      <x:c r="AV37" s="19" t="str">
        <x:v>verified</x:v>
      </x:c>
      <x:c r="AW37" s="44" t="n">
        <x:v>1124</x:v>
      </x:c>
      <x:c r="AX37" s="19" t="n">
        <x:v>44</x:v>
      </x:c>
      <x:c r="AY37" s="42" t="n">
        <x:v>44.25</x:v>
      </x:c>
      <x:c r="AZ37" s="44" t="n">
        <x:v>320</x:v>
      </x:c>
      <x:c r="BA37" s="19" t="n">
        <x:v>13</x:v>
      </x:c>
      <x:c r="BB37" s="42" t="n">
        <x:v>12.6</x:v>
      </x:c>
      <x:c r="BC37" s="20" t="str">
        <x:v>["steer","drive","trailer"]</x:v>
      </x:c>
      <x:c r="BD37" s="20" t="str">
        <x:v>["off-road"]</x:v>
      </x:c>
      <x:c r="BE37" s="20" t="str">
        <x:v>["anti-tear","anti-wear","handling","puncture-resistance","cut-resistance"]</x:v>
      </x:c>
      <x:c r="BF37" s="20" t="str">
        <x:v>tbr</x:v>
      </x:c>
      <x:c r="BG37" s="20" t="str">
        <x:v>BIZON-MODEL-FIO628</x:v>
      </x:c>
      <x:c r="BH37" s="19" t="str">
        <x:v>DOUBLESTAR COMBODIA TBR CATALOGUE.pdf</x:v>
      </x:c>
      <x:c r="BI37" s="19" t="n">
        <x:v>7</x:v>
      </x:c>
      <x:c r="BJ37" s="19" t="n">
        <x:v>1</x:v>
      </x:c>
      <x:c r="BK37" s="19" t="str">
        <x:v>verified</x:v>
      </x:c>
      <x:c r="BL37" s="20" t="str">
        <x:v>[]</x:v>
      </x:c>
      <x:c r="BM37" s="31" t="b">
        <x:v>0</x:v>
      </x:c>
      <x:c r="BN37" s="20" t="str">
        <x:v>Грузовая шина BIZON FIO628 для внедорожной эксплуатации.</x:v>
      </x:c>
      <x:c r="BO37" s="20" t="str">
        <x:v>Модель BIZON FIO628. Позиция установки по каталогу: All position. Основные заявленные свойства: Стойкость к разрывам; Износостойкость; Управляемость; Стойкость к проколам; Стойкость к порезам.</x:v>
      </x:c>
    </x:row>
    <x:row r="38">
      <x:c r="A38" s="18" t="str">
        <x:v>BIZON-VAR-DMA100-1200R24-20PR</x:v>
      </x:c>
      <x:c r="B38" s="18" t="str">
        <x:v>BIZON-MODEL-DMA100</x:v>
      </x:c>
      <x:c r="C38" s="18" t="str">
        <x:v>BIZON</x:v>
      </x:c>
      <x:c r="D38" s="19" t="str">
        <x:v>DOUBLESTAR</x:v>
      </x:c>
      <x:c r="E38" s="18" t="str">
        <x:v>TBR</x:v>
      </x:c>
      <x:c r="F38" s="18" t="str">
        <x:v>DMA100</x:v>
      </x:c>
      <x:c r="G38" s="18" t="str">
        <x:v>dma100</x:v>
      </x:c>
      <x:c r="H38" s="18" t="str">
        <x:v>BIZON DMA100</x:v>
      </x:c>
      <x:c r="I38" s="18" t="str">
        <x:v>draft</x:v>
      </x:c>
      <x:c r="J38" s="19" t="str">
        <x:v>verified</x:v>
      </x:c>
      <x:c r="K38" s="19" t="str">
        <x:v>12.00R24</x:v>
      </x:c>
      <x:c r="L38" s="18" t="str">
        <x:v>12.00R24</x:v>
      </x:c>
      <x:c r="M38" s="18" t="str">
        <x:v>imperial</x:v>
      </x:c>
      <x:c r="N38" s="39"/>
      <x:c r="O38" s="39" t="n">
        <x:v>12</x:v>
      </x:c>
      <x:c r="P38" s="40"/>
      <x:c r="Q38" s="18" t="str">
        <x:v>R</x:v>
      </x:c>
      <x:c r="R38" s="39" t="n">
        <x:v>24</x:v>
      </x:c>
      <x:c r="S38" s="18" t="n">
        <x:v>20</x:v>
      </x:c>
      <x:c r="T38" s="39" t="n">
        <x:v>16</x:v>
      </x:c>
      <x:c r="U38" s="41" t="n">
        <x:v>20</x:v>
      </x:c>
      <x:c r="V38" s="39" t="n">
        <x:v>8.5</x:v>
      </x:c>
      <x:c r="W38" s="19" t="n">
        <x:v>900</x:v>
      </x:c>
      <x:c r="X38" s="19" t="n">
        <x:v>900</x:v>
      </x:c>
      <x:c r="Y38" s="19" t="str">
        <x:v>PSI</x:v>
      </x:c>
      <x:c r="Z38" s="42" t="n">
        <x:v>900</x:v>
      </x:c>
      <x:c r="AA38" s="42" t="n">
        <x:v>900</x:v>
      </x:c>
      <x:c r="AB38" s="42" t="n">
        <x:v>9</x:v>
      </x:c>
      <x:c r="AC38" s="42" t="n">
        <x:v>9</x:v>
      </x:c>
      <x:c r="AD38" s="42" t="n">
        <x:v>130.5</x:v>
      </x:c>
      <x:c r="AE38" s="42" t="n">
        <x:v>130.5</x:v>
      </x:c>
      <x:c r="AF38" s="19" t="str">
        <x:v>verified</x:v>
      </x:c>
      <x:c r="AG38" s="19" t="n">
        <x:v>4500</x:v>
      </x:c>
      <x:c r="AH38" s="19" t="n">
        <x:v>4125</x:v>
      </x:c>
      <x:c r="AI38" s="19" t="str">
        <x:v>LBS</x:v>
      </x:c>
      <x:c r="AJ38" s="42" t="n">
        <x:v>4500</x:v>
      </x:c>
      <x:c r="AK38" s="42" t="n">
        <x:v>4125</x:v>
      </x:c>
      <x:c r="AL38" s="42" t="n">
        <x:v>9921</x:v>
      </x:c>
      <x:c r="AM38" s="42" t="n">
        <x:v>9094</x:v>
      </x:c>
      <x:c r="AN38" s="19" t="str">
        <x:v>verified</x:v>
      </x:c>
      <x:c r="AO38" s="18" t="n">
        <x:v>160</x:v>
      </x:c>
      <x:c r="AP38" s="18" t="n">
        <x:v>157</x:v>
      </x:c>
      <x:c r="AQ38" s="19" t="str">
        <x:v>160 / 157</x:v>
      </x:c>
      <x:c r="AR38" s="18"/>
      <x:c r="AS38" s="18" t="str">
        <x:v>L</x:v>
      </x:c>
      <x:c r="AT38" s="18"/>
      <x:c r="AU38" s="19" t="str">
        <x:v>160/157 L</x:v>
      </x:c>
      <x:c r="AV38" s="19" t="str">
        <x:v>verified</x:v>
      </x:c>
      <x:c r="AW38" s="39" t="n">
        <x:v>1226</x:v>
      </x:c>
      <x:c r="AX38" s="19" t="n">
        <x:v>48</x:v>
      </x:c>
      <x:c r="AY38" s="42" t="n">
        <x:v>48.27</x:v>
      </x:c>
      <x:c r="AZ38" s="39" t="n">
        <x:v>315</x:v>
      </x:c>
      <x:c r="BA38" s="19" t="n">
        <x:v>12</x:v>
      </x:c>
      <x:c r="BB38" s="42" t="n">
        <x:v>12.4</x:v>
      </x:c>
      <x:c r="BC38" s="18" t="str">
        <x:v>["steer","drive","trailer"]</x:v>
      </x:c>
      <x:c r="BD38" s="18" t="str">
        <x:v>["regional"]</x:v>
      </x:c>
      <x:c r="BE38" s="18" t="str">
        <x:v>["anti-wear","high-mileage","handling"]</x:v>
      </x:c>
      <x:c r="BF38" s="18" t="str">
        <x:v>tbr</x:v>
      </x:c>
      <x:c r="BG38" s="18" t="str">
        <x:v>BIZON-MODEL-DMA100</x:v>
      </x:c>
      <x:c r="BH38" s="19" t="str">
        <x:v>DOUBLESTAR COMBODIA TBR CATALOGUE.pdf</x:v>
      </x:c>
      <x:c r="BI38" s="19" t="n">
        <x:v>8</x:v>
      </x:c>
      <x:c r="BJ38" s="19" t="n">
        <x:v>1</x:v>
      </x:c>
      <x:c r="BK38" s="19" t="str">
        <x:v>verified</x:v>
      </x:c>
      <x:c r="BL38" s="18" t="str">
        <x:v>[]</x:v>
      </x:c>
      <x:c r="BM38" s="28" t="b">
        <x:v>0</x:v>
      </x:c>
      <x:c r="BN38" s="18" t="str">
        <x:v>Грузовая шина BIZON DMA100 для региональной эксплуатации.</x:v>
      </x:c>
      <x:c r="BO38" s="18" t="str">
        <x:v>Модель BIZON DMA100. Позиция установки по каталогу: All position. Основные заявленные свойства: Износостойкость; Высокий пробег; Управляемость.</x:v>
      </x:c>
    </x:row>
    <x:row r="39">
      <x:c r="A39" s="20" t="str">
        <x:v>BIZON-VAR-DMA100-32595R24-22PR</x:v>
      </x:c>
      <x:c r="B39" s="20" t="str">
        <x:v>BIZON-MODEL-DMA100</x:v>
      </x:c>
      <x:c r="C39" s="20" t="str">
        <x:v>BIZON</x:v>
      </x:c>
      <x:c r="D39" s="19" t="str">
        <x:v>DOUBLESTAR</x:v>
      </x:c>
      <x:c r="E39" s="20" t="str">
        <x:v>TBR</x:v>
      </x:c>
      <x:c r="F39" s="20" t="str">
        <x:v>DMA100</x:v>
      </x:c>
      <x:c r="G39" s="20" t="str">
        <x:v>dma100</x:v>
      </x:c>
      <x:c r="H39" s="20" t="str">
        <x:v>BIZON DMA100</x:v>
      </x:c>
      <x:c r="I39" s="20" t="str">
        <x:v>draft</x:v>
      </x:c>
      <x:c r="J39" s="19" t="str">
        <x:v>verified</x:v>
      </x:c>
      <x:c r="K39" s="19" t="str">
        <x:v>325/95R24</x:v>
      </x:c>
      <x:c r="L39" s="20" t="str">
        <x:v>325/95R24</x:v>
      </x:c>
      <x:c r="M39" s="20" t="str">
        <x:v>metric</x:v>
      </x:c>
      <x:c r="N39" s="44" t="n">
        <x:v>325</x:v>
      </x:c>
      <x:c r="O39" s="44"/>
      <x:c r="P39" s="45" t="n">
        <x:v>95</x:v>
      </x:c>
      <x:c r="Q39" s="20" t="str">
        <x:v>R</x:v>
      </x:c>
      <x:c r="R39" s="44" t="n">
        <x:v>24</x:v>
      </x:c>
      <x:c r="S39" s="20" t="n">
        <x:v>22</x:v>
      </x:c>
      <x:c r="T39" s="44" t="n">
        <x:v>16</x:v>
      </x:c>
      <x:c r="U39" s="41" t="n">
        <x:v>20</x:v>
      </x:c>
      <x:c r="V39" s="44" t="n">
        <x:v>9</x:v>
      </x:c>
      <x:c r="W39" s="19" t="n">
        <x:v>850</x:v>
      </x:c>
      <x:c r="X39" s="19" t="n">
        <x:v>850</x:v>
      </x:c>
      <x:c r="Y39" s="19" t="str">
        <x:v>PSI</x:v>
      </x:c>
      <x:c r="Z39" s="42" t="n">
        <x:v>850</x:v>
      </x:c>
      <x:c r="AA39" s="42" t="n">
        <x:v>850</x:v>
      </x:c>
      <x:c r="AB39" s="42" t="n">
        <x:v>8.5</x:v>
      </x:c>
      <x:c r="AC39" s="42" t="n">
        <x:v>8.5</x:v>
      </x:c>
      <x:c r="AD39" s="42" t="n">
        <x:v>123.3</x:v>
      </x:c>
      <x:c r="AE39" s="42" t="n">
        <x:v>123.3</x:v>
      </x:c>
      <x:c r="AF39" s="19" t="str">
        <x:v>verified</x:v>
      </x:c>
      <x:c r="AG39" s="19" t="n">
        <x:v>4750</x:v>
      </x:c>
      <x:c r="AH39" s="19" t="n">
        <x:v>4500</x:v>
      </x:c>
      <x:c r="AI39" s="19" t="str">
        <x:v>LBS</x:v>
      </x:c>
      <x:c r="AJ39" s="42" t="n">
        <x:v>4750</x:v>
      </x:c>
      <x:c r="AK39" s="42" t="n">
        <x:v>4500</x:v>
      </x:c>
      <x:c r="AL39" s="42" t="n">
        <x:v>10472</x:v>
      </x:c>
      <x:c r="AM39" s="42" t="n">
        <x:v>9921</x:v>
      </x:c>
      <x:c r="AN39" s="19" t="str">
        <x:v>verified</x:v>
      </x:c>
      <x:c r="AO39" s="20" t="n">
        <x:v>162</x:v>
      </x:c>
      <x:c r="AP39" s="20" t="n">
        <x:v>160</x:v>
      </x:c>
      <x:c r="AQ39" s="19" t="str">
        <x:v>162 / 160</x:v>
      </x:c>
      <x:c r="AR39" s="20"/>
      <x:c r="AS39" s="20" t="str">
        <x:v>K</x:v>
      </x:c>
      <x:c r="AT39" s="20"/>
      <x:c r="AU39" s="19" t="str">
        <x:v>162/160 K</x:v>
      </x:c>
      <x:c r="AV39" s="19" t="str">
        <x:v>verified</x:v>
      </x:c>
      <x:c r="AW39" s="44" t="n">
        <x:v>1228</x:v>
      </x:c>
      <x:c r="AX39" s="19" t="n">
        <x:v>48</x:v>
      </x:c>
      <x:c r="AY39" s="42" t="n">
        <x:v>48.35</x:v>
      </x:c>
      <x:c r="AZ39" s="44" t="n">
        <x:v>312</x:v>
      </x:c>
      <x:c r="BA39" s="19" t="n">
        <x:v>12</x:v>
      </x:c>
      <x:c r="BB39" s="42" t="n">
        <x:v>12.28</x:v>
      </x:c>
      <x:c r="BC39" s="20" t="str">
        <x:v>["steer","drive","trailer"]</x:v>
      </x:c>
      <x:c r="BD39" s="20" t="str">
        <x:v>["regional"]</x:v>
      </x:c>
      <x:c r="BE39" s="20" t="str">
        <x:v>["anti-wear","high-mileage","handling"]</x:v>
      </x:c>
      <x:c r="BF39" s="20" t="str">
        <x:v>tbr</x:v>
      </x:c>
      <x:c r="BG39" s="20" t="str">
        <x:v>BIZON-MODEL-DMA100</x:v>
      </x:c>
      <x:c r="BH39" s="19" t="str">
        <x:v>DOUBLESTAR COMBODIA TBR CATALOGUE.pdf</x:v>
      </x:c>
      <x:c r="BI39" s="19" t="n">
        <x:v>8</x:v>
      </x:c>
      <x:c r="BJ39" s="19" t="n">
        <x:v>2</x:v>
      </x:c>
      <x:c r="BK39" s="19" t="str">
        <x:v>verified</x:v>
      </x:c>
      <x:c r="BL39" s="20" t="str">
        <x:v>[]</x:v>
      </x:c>
      <x:c r="BM39" s="31" t="b">
        <x:v>0</x:v>
      </x:c>
      <x:c r="BN39" s="20" t="str">
        <x:v>Грузовая шина BIZON DMA100 для региональной эксплуатации.</x:v>
      </x:c>
      <x:c r="BO39" s="20" t="str">
        <x:v>Модель BIZON DMA100. Позиция установки по каталогу: All position. Основные заявленные свойства: Износостойкость; Высокий пробег; Управляемость.</x:v>
      </x:c>
    </x:row>
    <x:row r="40">
      <x:c r="A40" s="18" t="str">
        <x:v>BIZON-VAR-DMA805-38565R225-24PR</x:v>
      </x:c>
      <x:c r="B40" s="18" t="str">
        <x:v>BIZON-MODEL-DMA805</x:v>
      </x:c>
      <x:c r="C40" s="18" t="str">
        <x:v>BIZON</x:v>
      </x:c>
      <x:c r="D40" s="19" t="str">
        <x:v>DOUBLESTAR</x:v>
      </x:c>
      <x:c r="E40" s="18" t="str">
        <x:v>TBR</x:v>
      </x:c>
      <x:c r="F40" s="18" t="str">
        <x:v>DMA805</x:v>
      </x:c>
      <x:c r="G40" s="18" t="str">
        <x:v>dma805</x:v>
      </x:c>
      <x:c r="H40" s="18" t="str">
        <x:v>BIZON DMA805</x:v>
      </x:c>
      <x:c r="I40" s="18" t="str">
        <x:v>draft</x:v>
      </x:c>
      <x:c r="J40" s="19" t="str">
        <x:v>verified</x:v>
      </x:c>
      <x:c r="K40" s="19" t="str">
        <x:v>385/65R22.5</x:v>
      </x:c>
      <x:c r="L40" s="18" t="str">
        <x:v>385/65R22.5</x:v>
      </x:c>
      <x:c r="M40" s="18" t="str">
        <x:v>metric</x:v>
      </x:c>
      <x:c r="N40" s="39" t="n">
        <x:v>385</x:v>
      </x:c>
      <x:c r="O40" s="39"/>
      <x:c r="P40" s="40" t="n">
        <x:v>65</x:v>
      </x:c>
      <x:c r="Q40" s="18" t="str">
        <x:v>R</x:v>
      </x:c>
      <x:c r="R40" s="39" t="n">
        <x:v>22.5</x:v>
      </x:c>
      <x:c r="S40" s="18" t="n">
        <x:v>24</x:v>
      </x:c>
      <x:c r="T40" s="39" t="n">
        <x:v>18</x:v>
      </x:c>
      <x:c r="U40" s="41" t="n">
        <x:v>23</x:v>
      </x:c>
      <x:c r="V40" s="39" t="n">
        <x:v>11.75</x:v>
      </x:c>
      <x:c r="W40" s="19" t="n">
        <x:v>930</x:v>
      </x:c>
      <x:c r="X40" s="19"/>
      <x:c r="Y40" s="19" t="str">
        <x:v>PSI</x:v>
      </x:c>
      <x:c r="Z40" s="42" t="n">
        <x:v>930</x:v>
      </x:c>
      <x:c r="AA40" s="42"/>
      <x:c r="AB40" s="42" t="n">
        <x:v>9.3</x:v>
      </x:c>
      <x:c r="AC40" s="42"/>
      <x:c r="AD40" s="42" t="n">
        <x:v>134.9</x:v>
      </x:c>
      <x:c r="AE40" s="42"/>
      <x:c r="AF40" s="19" t="str">
        <x:v>verified</x:v>
      </x:c>
      <x:c r="AG40" s="19" t="n">
        <x:v>5000</x:v>
      </x:c>
      <x:c r="AH40" s="19"/>
      <x:c r="AI40" s="19" t="str">
        <x:v>LBS</x:v>
      </x:c>
      <x:c r="AJ40" s="42" t="n">
        <x:v>5000</x:v>
      </x:c>
      <x:c r="AK40" s="42"/>
      <x:c r="AL40" s="42" t="n">
        <x:v>11023</x:v>
      </x:c>
      <x:c r="AM40" s="42"/>
      <x:c r="AN40" s="19" t="str">
        <x:v>verified</x:v>
      </x:c>
      <x:c r="AO40" s="18" t="n">
        <x:v>164</x:v>
      </x:c>
      <x:c r="AP40" s="18"/>
      <x:c r="AQ40" s="19" t="str">
        <x:v>164</x:v>
      </x:c>
      <x:c r="AR40" s="18"/>
      <x:c r="AS40" s="18" t="str">
        <x:v>K</x:v>
      </x:c>
      <x:c r="AT40" s="18"/>
      <x:c r="AU40" s="19" t="str">
        <x:v>164 K</x:v>
      </x:c>
      <x:c r="AV40" s="19" t="str">
        <x:v>verified</x:v>
      </x:c>
      <x:c r="AW40" s="39" t="n">
        <x:v>1072</x:v>
      </x:c>
      <x:c r="AX40" s="19" t="n">
        <x:v>42</x:v>
      </x:c>
      <x:c r="AY40" s="42" t="n">
        <x:v>42.2</x:v>
      </x:c>
      <x:c r="AZ40" s="39" t="n">
        <x:v>389</x:v>
      </x:c>
      <x:c r="BA40" s="19" t="n">
        <x:v>15</x:v>
      </x:c>
      <x:c r="BB40" s="42" t="n">
        <x:v>15.31</x:v>
      </x:c>
      <x:c r="BC40" s="18" t="str">
        <x:v>["drive","trailer"]</x:v>
      </x:c>
      <x:c r="BD40" s="18" t="str">
        <x:v>["regional","urban"]</x:v>
      </x:c>
      <x:c r="BE40" s="18" t="str">
        <x:v>["anti-tear","heavy-load","retreadability","stone-ejection","cut-resistance"]</x:v>
      </x:c>
      <x:c r="BF40" s="18" t="str">
        <x:v>tbr</x:v>
      </x:c>
      <x:c r="BG40" s="18" t="str">
        <x:v>BIZON-MODEL-DMA805</x:v>
      </x:c>
      <x:c r="BH40" s="19" t="str">
        <x:v>DOUBLESTAR COMBODIA TBR CATALOGUE.pdf</x:v>
      </x:c>
      <x:c r="BI40" s="19" t="n">
        <x:v>8</x:v>
      </x:c>
      <x:c r="BJ40" s="19" t="n">
        <x:v>1</x:v>
      </x:c>
      <x:c r="BK40" s="19" t="str">
        <x:v>verified</x:v>
      </x:c>
      <x:c r="BL40" s="18" t="str">
        <x:v>[]</x:v>
      </x:c>
      <x:c r="BM40" s="28" t="b">
        <x:v>0</x:v>
      </x:c>
      <x:c r="BN40" s="18" t="str">
        <x:v>Грузовая шина BIZON DMA805 для региональной и городской эксплуатации.</x:v>
      </x:c>
      <x:c r="BO40" s="18" t="str">
        <x:v>Модель BIZON DMA805. Позиция установки по каталогу: Drive and trailer. Основные заявленные свойства: Стойкость к разрывам; Высокая грузоподъёмность; Восстанавливаемость; Удаление камней; Стойкость к порезам.</x:v>
      </x:c>
    </x:row>
    <x:row r="41">
      <x:c r="A41" s="20" t="str">
        <x:v>BIZON-VAR-DMA805-42565R225-20PR</x:v>
      </x:c>
      <x:c r="B41" s="20" t="str">
        <x:v>BIZON-MODEL-DMA805</x:v>
      </x:c>
      <x:c r="C41" s="20" t="str">
        <x:v>BIZON</x:v>
      </x:c>
      <x:c r="D41" s="19" t="str">
        <x:v>DOUBLESTAR</x:v>
      </x:c>
      <x:c r="E41" s="20" t="str">
        <x:v>TBR</x:v>
      </x:c>
      <x:c r="F41" s="20" t="str">
        <x:v>DMA805</x:v>
      </x:c>
      <x:c r="G41" s="20" t="str">
        <x:v>dma805</x:v>
      </x:c>
      <x:c r="H41" s="20" t="str">
        <x:v>BIZON DMA805</x:v>
      </x:c>
      <x:c r="I41" s="20" t="str">
        <x:v>draft</x:v>
      </x:c>
      <x:c r="J41" s="19" t="str">
        <x:v>verified</x:v>
      </x:c>
      <x:c r="K41" s="19" t="str">
        <x:v>425/65R22.5</x:v>
      </x:c>
      <x:c r="L41" s="20" t="str">
        <x:v>425/65R22.5</x:v>
      </x:c>
      <x:c r="M41" s="20" t="str">
        <x:v>metric</x:v>
      </x:c>
      <x:c r="N41" s="44" t="n">
        <x:v>425</x:v>
      </x:c>
      <x:c r="O41" s="44"/>
      <x:c r="P41" s="45" t="n">
        <x:v>65</x:v>
      </x:c>
      <x:c r="Q41" s="20" t="str">
        <x:v>R</x:v>
      </x:c>
      <x:c r="R41" s="44" t="n">
        <x:v>22.5</x:v>
      </x:c>
      <x:c r="S41" s="20" t="n">
        <x:v>20</x:v>
      </x:c>
      <x:c r="T41" s="44" t="n">
        <x:v>18</x:v>
      </x:c>
      <x:c r="U41" s="41" t="n">
        <x:v>23</x:v>
      </x:c>
      <x:c r="V41" s="44" t="n">
        <x:v>12.25</x:v>
      </x:c>
      <x:c r="W41" s="19" t="n">
        <x:v>830</x:v>
      </x:c>
      <x:c r="X41" s="19"/>
      <x:c r="Y41" s="19" t="str">
        <x:v>PSI</x:v>
      </x:c>
      <x:c r="Z41" s="42" t="n">
        <x:v>830</x:v>
      </x:c>
      <x:c r="AA41" s="42"/>
      <x:c r="AB41" s="42" t="n">
        <x:v>8.3</x:v>
      </x:c>
      <x:c r="AC41" s="42"/>
      <x:c r="AD41" s="42" t="n">
        <x:v>120.4</x:v>
      </x:c>
      <x:c r="AE41" s="42"/>
      <x:c r="AF41" s="19" t="str">
        <x:v>verified</x:v>
      </x:c>
      <x:c r="AG41" s="19" t="n">
        <x:v>5150</x:v>
      </x:c>
      <x:c r="AH41" s="19"/>
      <x:c r="AI41" s="19" t="str">
        <x:v>LBS</x:v>
      </x:c>
      <x:c r="AJ41" s="42" t="n">
        <x:v>5150</x:v>
      </x:c>
      <x:c r="AK41" s="42"/>
      <x:c r="AL41" s="42" t="n">
        <x:v>11354</x:v>
      </x:c>
      <x:c r="AM41" s="42"/>
      <x:c r="AN41" s="19" t="str">
        <x:v>verified</x:v>
      </x:c>
      <x:c r="AO41" s="20" t="n">
        <x:v>165</x:v>
      </x:c>
      <x:c r="AP41" s="20"/>
      <x:c r="AQ41" s="19" t="str">
        <x:v>165</x:v>
      </x:c>
      <x:c r="AR41" s="20"/>
      <x:c r="AS41" s="20" t="str">
        <x:v>K</x:v>
      </x:c>
      <x:c r="AT41" s="20"/>
      <x:c r="AU41" s="19" t="str">
        <x:v>165 K</x:v>
      </x:c>
      <x:c r="AV41" s="19" t="str">
        <x:v>verified</x:v>
      </x:c>
      <x:c r="AW41" s="44" t="n">
        <x:v>1124</x:v>
      </x:c>
      <x:c r="AX41" s="19" t="n">
        <x:v>44</x:v>
      </x:c>
      <x:c r="AY41" s="42" t="n">
        <x:v>44.25</x:v>
      </x:c>
      <x:c r="AZ41" s="44" t="n">
        <x:v>422</x:v>
      </x:c>
      <x:c r="BA41" s="19" t="n">
        <x:v>17</x:v>
      </x:c>
      <x:c r="BB41" s="42" t="n">
        <x:v>16.61</x:v>
      </x:c>
      <x:c r="BC41" s="20" t="str">
        <x:v>["drive","trailer"]</x:v>
      </x:c>
      <x:c r="BD41" s="20" t="str">
        <x:v>["regional","urban"]</x:v>
      </x:c>
      <x:c r="BE41" s="20" t="str">
        <x:v>["anti-tear","heavy-load","retreadability","stone-ejection","cut-resistance"]</x:v>
      </x:c>
      <x:c r="BF41" s="20" t="str">
        <x:v>tbr</x:v>
      </x:c>
      <x:c r="BG41" s="20" t="str">
        <x:v>BIZON-MODEL-DMA805</x:v>
      </x:c>
      <x:c r="BH41" s="19" t="str">
        <x:v>DOUBLESTAR COMBODIA TBR CATALOGUE.pdf</x:v>
      </x:c>
      <x:c r="BI41" s="19" t="n">
        <x:v>8</x:v>
      </x:c>
      <x:c r="BJ41" s="19" t="n">
        <x:v>2</x:v>
      </x:c>
      <x:c r="BK41" s="19" t="str">
        <x:v>verified</x:v>
      </x:c>
      <x:c r="BL41" s="20" t="str">
        <x:v>[]</x:v>
      </x:c>
      <x:c r="BM41" s="31" t="b">
        <x:v>0</x:v>
      </x:c>
      <x:c r="BN41" s="20" t="str">
        <x:v>Грузовая шина BIZON DMA805 для региональной и городской эксплуатации.</x:v>
      </x:c>
      <x:c r="BO41" s="20" t="str">
        <x:v>Модель BIZON DMA805. Позиция установки по каталогу: Drive and trailer. Основные заявленные свойства: Стойкость к разрывам; Высокая грузоподъёмность; Восстанавливаемость; Удаление камней; Стойкость к порезам.</x:v>
      </x:c>
    </x:row>
    <x:row r="42">
      <x:c r="A42" s="18" t="str">
        <x:v>BIZON-VAR-DMA805-44565R225-20PR</x:v>
      </x:c>
      <x:c r="B42" s="18" t="str">
        <x:v>BIZON-MODEL-DMA805</x:v>
      </x:c>
      <x:c r="C42" s="18" t="str">
        <x:v>BIZON</x:v>
      </x:c>
      <x:c r="D42" s="19" t="str">
        <x:v>DOUBLESTAR</x:v>
      </x:c>
      <x:c r="E42" s="18" t="str">
        <x:v>TBR</x:v>
      </x:c>
      <x:c r="F42" s="18" t="str">
        <x:v>DMA805</x:v>
      </x:c>
      <x:c r="G42" s="18" t="str">
        <x:v>dma805</x:v>
      </x:c>
      <x:c r="H42" s="18" t="str">
        <x:v>BIZON DMA805</x:v>
      </x:c>
      <x:c r="I42" s="18" t="str">
        <x:v>draft</x:v>
      </x:c>
      <x:c r="J42" s="19" t="str">
        <x:v>verified</x:v>
      </x:c>
      <x:c r="K42" s="19" t="str">
        <x:v>445/65R22.5</x:v>
      </x:c>
      <x:c r="L42" s="18" t="str">
        <x:v>445/65R22.5</x:v>
      </x:c>
      <x:c r="M42" s="18" t="str">
        <x:v>metric</x:v>
      </x:c>
      <x:c r="N42" s="39" t="n">
        <x:v>445</x:v>
      </x:c>
      <x:c r="O42" s="39"/>
      <x:c r="P42" s="40" t="n">
        <x:v>65</x:v>
      </x:c>
      <x:c r="Q42" s="18" t="str">
        <x:v>R</x:v>
      </x:c>
      <x:c r="R42" s="39" t="n">
        <x:v>22.5</x:v>
      </x:c>
      <x:c r="S42" s="18" t="n">
        <x:v>20</x:v>
      </x:c>
      <x:c r="T42" s="39" t="n">
        <x:v>18</x:v>
      </x:c>
      <x:c r="U42" s="41" t="n">
        <x:v>23</x:v>
      </x:c>
      <x:c r="V42" s="39" t="n">
        <x:v>13</x:v>
      </x:c>
      <x:c r="W42" s="19" t="n">
        <x:v>900</x:v>
      </x:c>
      <x:c r="X42" s="19"/>
      <x:c r="Y42" s="19" t="str">
        <x:v>PSI</x:v>
      </x:c>
      <x:c r="Z42" s="42" t="n">
        <x:v>900</x:v>
      </x:c>
      <x:c r="AA42" s="42"/>
      <x:c r="AB42" s="42" t="n">
        <x:v>9</x:v>
      </x:c>
      <x:c r="AC42" s="42"/>
      <x:c r="AD42" s="42" t="n">
        <x:v>130.5</x:v>
      </x:c>
      <x:c r="AE42" s="42"/>
      <x:c r="AF42" s="19" t="str">
        <x:v>verified</x:v>
      </x:c>
      <x:c r="AG42" s="19" t="n">
        <x:v>5800</x:v>
      </x:c>
      <x:c r="AH42" s="19"/>
      <x:c r="AI42" s="19" t="str">
        <x:v>LBS</x:v>
      </x:c>
      <x:c r="AJ42" s="42" t="n">
        <x:v>5800</x:v>
      </x:c>
      <x:c r="AK42" s="42"/>
      <x:c r="AL42" s="42" t="n">
        <x:v>12787</x:v>
      </x:c>
      <x:c r="AM42" s="42"/>
      <x:c r="AN42" s="19" t="str">
        <x:v>verified</x:v>
      </x:c>
      <x:c r="AO42" s="18" t="n">
        <x:v>169</x:v>
      </x:c>
      <x:c r="AP42" s="18"/>
      <x:c r="AQ42" s="19" t="str">
        <x:v>169</x:v>
      </x:c>
      <x:c r="AR42" s="18"/>
      <x:c r="AS42" s="18" t="str">
        <x:v>K</x:v>
      </x:c>
      <x:c r="AT42" s="18"/>
      <x:c r="AU42" s="19" t="str">
        <x:v>169 K</x:v>
      </x:c>
      <x:c r="AV42" s="19" t="str">
        <x:v>verified</x:v>
      </x:c>
      <x:c r="AW42" s="39" t="n">
        <x:v>1150</x:v>
      </x:c>
      <x:c r="AX42" s="19" t="n">
        <x:v>45</x:v>
      </x:c>
      <x:c r="AY42" s="42" t="n">
        <x:v>45.28</x:v>
      </x:c>
      <x:c r="AZ42" s="39" t="n">
        <x:v>444</x:v>
      </x:c>
      <x:c r="BA42" s="19" t="n">
        <x:v>17</x:v>
      </x:c>
      <x:c r="BB42" s="42" t="n">
        <x:v>17.48</x:v>
      </x:c>
      <x:c r="BC42" s="18" t="str">
        <x:v>["drive","trailer"]</x:v>
      </x:c>
      <x:c r="BD42" s="18" t="str">
        <x:v>["regional","urban"]</x:v>
      </x:c>
      <x:c r="BE42" s="18" t="str">
        <x:v>["anti-tear","heavy-load","retreadability","stone-ejection","cut-resistance"]</x:v>
      </x:c>
      <x:c r="BF42" s="18" t="str">
        <x:v>tbr</x:v>
      </x:c>
      <x:c r="BG42" s="18" t="str">
        <x:v>BIZON-MODEL-DMA805</x:v>
      </x:c>
      <x:c r="BH42" s="19" t="str">
        <x:v>DOUBLESTAR COMBODIA TBR CATALOGUE.pdf</x:v>
      </x:c>
      <x:c r="BI42" s="19" t="n">
        <x:v>8</x:v>
      </x:c>
      <x:c r="BJ42" s="19" t="n">
        <x:v>3</x:v>
      </x:c>
      <x:c r="BK42" s="19" t="str">
        <x:v>verified</x:v>
      </x:c>
      <x:c r="BL42" s="18" t="str">
        <x:v>[]</x:v>
      </x:c>
      <x:c r="BM42" s="28" t="b">
        <x:v>0</x:v>
      </x:c>
      <x:c r="BN42" s="18" t="str">
        <x:v>Грузовая шина BIZON DMA805 для региональной и городской эксплуатации.</x:v>
      </x:c>
      <x:c r="BO42" s="18" t="str">
        <x:v>Модель BIZON DMA805. Позиция установки по каталогу: Drive and trailer. Основные заявленные свойства: Стойкость к разрывам; Высокая грузоподъёмность; Восстанавливаемость; Удаление камней; Стойкость к порезам.</x:v>
      </x:c>
    </x:row>
    <x:row r="43">
      <x:c r="A43" s="20" t="str">
        <x:v>BIZON-VAR-DSR177-1200R20-22PR</x:v>
      </x:c>
      <x:c r="B43" s="20" t="str">
        <x:v>BIZON-MODEL-DSR177</x:v>
      </x:c>
      <x:c r="C43" s="20" t="str">
        <x:v>BIZON</x:v>
      </x:c>
      <x:c r="D43" s="19" t="str">
        <x:v>DOUBLESTAR</x:v>
      </x:c>
      <x:c r="E43" s="20" t="str">
        <x:v>TBR</x:v>
      </x:c>
      <x:c r="F43" s="20" t="str">
        <x:v>DSR177</x:v>
      </x:c>
      <x:c r="G43" s="20" t="str">
        <x:v>dsr177</x:v>
      </x:c>
      <x:c r="H43" s="20" t="str">
        <x:v>BIZON DSR177</x:v>
      </x:c>
      <x:c r="I43" s="20" t="str">
        <x:v>draft</x:v>
      </x:c>
      <x:c r="J43" s="19" t="str">
        <x:v>verified</x:v>
      </x:c>
      <x:c r="K43" s="19" t="str">
        <x:v>12.00R20</x:v>
      </x:c>
      <x:c r="L43" s="20" t="str">
        <x:v>12.00R20</x:v>
      </x:c>
      <x:c r="M43" s="20" t="str">
        <x:v>imperial</x:v>
      </x:c>
      <x:c r="N43" s="44"/>
      <x:c r="O43" s="44" t="n">
        <x:v>12</x:v>
      </x:c>
      <x:c r="P43" s="45"/>
      <x:c r="Q43" s="20" t="str">
        <x:v>R</x:v>
      </x:c>
      <x:c r="R43" s="44" t="n">
        <x:v>20</x:v>
      </x:c>
      <x:c r="S43" s="20" t="n">
        <x:v>22</x:v>
      </x:c>
      <x:c r="T43" s="44" t="n">
        <x:v>26</x:v>
      </x:c>
      <x:c r="U43" s="41" t="n">
        <x:v>33</x:v>
      </x:c>
      <x:c r="V43" s="44" t="n">
        <x:v>8.5</x:v>
      </x:c>
      <x:c r="W43" s="19" t="n">
        <x:v>960</x:v>
      </x:c>
      <x:c r="X43" s="19" t="n">
        <x:v>960</x:v>
      </x:c>
      <x:c r="Y43" s="19" t="str">
        <x:v>PSI</x:v>
      </x:c>
      <x:c r="Z43" s="42" t="n">
        <x:v>960</x:v>
      </x:c>
      <x:c r="AA43" s="42" t="n">
        <x:v>960</x:v>
      </x:c>
      <x:c r="AB43" s="42" t="n">
        <x:v>9.6</x:v>
      </x:c>
      <x:c r="AC43" s="42" t="n">
        <x:v>9.6</x:v>
      </x:c>
      <x:c r="AD43" s="42" t="n">
        <x:v>139.2</x:v>
      </x:c>
      <x:c r="AE43" s="42" t="n">
        <x:v>139.2</x:v>
      </x:c>
      <x:c r="AF43" s="19" t="str">
        <x:v>verified</x:v>
      </x:c>
      <x:c r="AG43" s="19" t="n">
        <x:v>4250</x:v>
      </x:c>
      <x:c r="AH43" s="19" t="n">
        <x:v>3875</x:v>
      </x:c>
      <x:c r="AI43" s="19" t="str">
        <x:v>LBS</x:v>
      </x:c>
      <x:c r="AJ43" s="42" t="n">
        <x:v>4250</x:v>
      </x:c>
      <x:c r="AK43" s="42" t="n">
        <x:v>3875</x:v>
      </x:c>
      <x:c r="AL43" s="42" t="n">
        <x:v>9370</x:v>
      </x:c>
      <x:c r="AM43" s="42" t="n">
        <x:v>8543</x:v>
      </x:c>
      <x:c r="AN43" s="19" t="str">
        <x:v>verified</x:v>
      </x:c>
      <x:c r="AO43" s="20" t="n">
        <x:v>158</x:v>
      </x:c>
      <x:c r="AP43" s="20" t="n">
        <x:v>155</x:v>
      </x:c>
      <x:c r="AQ43" s="19" t="str">
        <x:v>158 / 155</x:v>
      </x:c>
      <x:c r="AR43" s="20"/>
      <x:c r="AS43" s="20" t="str">
        <x:v>B</x:v>
      </x:c>
      <x:c r="AT43" s="20"/>
      <x:c r="AU43" s="19" t="str">
        <x:v>158/155 B</x:v>
      </x:c>
      <x:c r="AV43" s="19" t="str">
        <x:v>verified</x:v>
      </x:c>
      <x:c r="AW43" s="44" t="n">
        <x:v>1125</x:v>
      </x:c>
      <x:c r="AX43" s="19" t="n">
        <x:v>44</x:v>
      </x:c>
      <x:c r="AY43" s="42" t="n">
        <x:v>44.29</x:v>
      </x:c>
      <x:c r="AZ43" s="44" t="n">
        <x:v>315</x:v>
      </x:c>
      <x:c r="BA43" s="19" t="n">
        <x:v>12</x:v>
      </x:c>
      <x:c r="BB43" s="42" t="n">
        <x:v>12.4</x:v>
      </x:c>
      <x:c r="BC43" s="20" t="str">
        <x:v>["steer","drive","trailer"]</x:v>
      </x:c>
      <x:c r="BD43" s="20" t="str">
        <x:v>["off-road"]</x:v>
      </x:c>
      <x:c r="BE43" s="20" t="str">
        <x:v>["anti-tear","heavy-load","heat-dissipation"]</x:v>
      </x:c>
      <x:c r="BF43" s="20" t="str">
        <x:v>tbr</x:v>
      </x:c>
      <x:c r="BG43" s="20" t="str">
        <x:v>BIZON-MODEL-DSR177</x:v>
      </x:c>
      <x:c r="BH43" s="19" t="str">
        <x:v>DOUBLESTAR COMBODIA TBR CATALOGUE.pdf</x:v>
      </x:c>
      <x:c r="BI43" s="19" t="n">
        <x:v>8</x:v>
      </x:c>
      <x:c r="BJ43" s="19" t="n">
        <x:v>1</x:v>
      </x:c>
      <x:c r="BK43" s="19" t="str">
        <x:v>verified</x:v>
      </x:c>
      <x:c r="BL43" s="20" t="str">
        <x:v>[]</x:v>
      </x:c>
      <x:c r="BM43" s="31" t="b">
        <x:v>0</x:v>
      </x:c>
      <x:c r="BN43" s="20" t="str">
        <x:v>Грузовая шина BIZON DSR177 для внедорожной эксплуатации.</x:v>
      </x:c>
      <x:c r="BO43" s="20" t="str">
        <x:v>Модель BIZON DSR177. Позиция установки по каталогу: All position. Основные заявленные свойства: Стойкость к разрывам; Высокая грузоподъёмность; Теплоотвод.</x:v>
      </x:c>
    </x:row>
    <x:row r="44">
      <x:c r="A44" s="18" t="str">
        <x:v>BIZON-VAR-DSR830-1200R20-20PR</x:v>
      </x:c>
      <x:c r="B44" s="18" t="str">
        <x:v>BIZON-MODEL-DSR830</x:v>
      </x:c>
      <x:c r="C44" s="18" t="str">
        <x:v>BIZON</x:v>
      </x:c>
      <x:c r="D44" s="19" t="str">
        <x:v>DOUBLESTAR</x:v>
      </x:c>
      <x:c r="E44" s="18" t="str">
        <x:v>TBR</x:v>
      </x:c>
      <x:c r="F44" s="18" t="str">
        <x:v>DSR830</x:v>
      </x:c>
      <x:c r="G44" s="18" t="str">
        <x:v>dsr830</x:v>
      </x:c>
      <x:c r="H44" s="18" t="str">
        <x:v>BIZON DSR830</x:v>
      </x:c>
      <x:c r="I44" s="18" t="str">
        <x:v>draft</x:v>
      </x:c>
      <x:c r="J44" s="19" t="str">
        <x:v>verified</x:v>
      </x:c>
      <x:c r="K44" s="19" t="str">
        <x:v>12.00R20</x:v>
      </x:c>
      <x:c r="L44" s="18" t="str">
        <x:v>12.00R20</x:v>
      </x:c>
      <x:c r="M44" s="18" t="str">
        <x:v>imperial</x:v>
      </x:c>
      <x:c r="N44" s="39"/>
      <x:c r="O44" s="39" t="n">
        <x:v>12</x:v>
      </x:c>
      <x:c r="P44" s="40"/>
      <x:c r="Q44" s="18" t="str">
        <x:v>R</x:v>
      </x:c>
      <x:c r="R44" s="39" t="n">
        <x:v>20</x:v>
      </x:c>
      <x:c r="S44" s="18" t="n">
        <x:v>20</x:v>
      </x:c>
      <x:c r="T44" s="39" t="n">
        <x:v>23.5</x:v>
      </x:c>
      <x:c r="U44" s="41" t="n">
        <x:v>30</x:v>
      </x:c>
      <x:c r="V44" s="39" t="n">
        <x:v>8.5</x:v>
      </x:c>
      <x:c r="W44" s="19" t="n">
        <x:v>900</x:v>
      </x:c>
      <x:c r="X44" s="19" t="n">
        <x:v>900</x:v>
      </x:c>
      <x:c r="Y44" s="19" t="str">
        <x:v>PSI</x:v>
      </x:c>
      <x:c r="Z44" s="42" t="n">
        <x:v>900</x:v>
      </x:c>
      <x:c r="AA44" s="42" t="n">
        <x:v>900</x:v>
      </x:c>
      <x:c r="AB44" s="42" t="n">
        <x:v>9</x:v>
      </x:c>
      <x:c r="AC44" s="42" t="n">
        <x:v>9</x:v>
      </x:c>
      <x:c r="AD44" s="42" t="n">
        <x:v>130.5</x:v>
      </x:c>
      <x:c r="AE44" s="42" t="n">
        <x:v>130.5</x:v>
      </x:c>
      <x:c r="AF44" s="19" t="str">
        <x:v>verified</x:v>
      </x:c>
      <x:c r="AG44" s="19" t="n">
        <x:v>4000</x:v>
      </x:c>
      <x:c r="AH44" s="19" t="n">
        <x:v>3650</x:v>
      </x:c>
      <x:c r="AI44" s="19" t="str">
        <x:v>LBS</x:v>
      </x:c>
      <x:c r="AJ44" s="42" t="n">
        <x:v>4000</x:v>
      </x:c>
      <x:c r="AK44" s="42" t="n">
        <x:v>3650</x:v>
      </x:c>
      <x:c r="AL44" s="42" t="n">
        <x:v>8818</x:v>
      </x:c>
      <x:c r="AM44" s="42" t="n">
        <x:v>8047</x:v>
      </x:c>
      <x:c r="AN44" s="19" t="str">
        <x:v>verified</x:v>
      </x:c>
      <x:c r="AO44" s="18" t="n">
        <x:v>156</x:v>
      </x:c>
      <x:c r="AP44" s="18" t="n">
        <x:v>153</x:v>
      </x:c>
      <x:c r="AQ44" s="19" t="str">
        <x:v>156 / 153</x:v>
      </x:c>
      <x:c r="AR44" s="18"/>
      <x:c r="AS44" s="18" t="str">
        <x:v>F</x:v>
      </x:c>
      <x:c r="AT44" s="18"/>
      <x:c r="AU44" s="19" t="str">
        <x:v>156/153 F</x:v>
      </x:c>
      <x:c r="AV44" s="19" t="str">
        <x:v>verified</x:v>
      </x:c>
      <x:c r="AW44" s="39" t="n">
        <x:v>1125</x:v>
      </x:c>
      <x:c r="AX44" s="19" t="n">
        <x:v>44</x:v>
      </x:c>
      <x:c r="AY44" s="42" t="n">
        <x:v>44.29</x:v>
      </x:c>
      <x:c r="AZ44" s="39" t="n">
        <x:v>315</x:v>
      </x:c>
      <x:c r="BA44" s="19" t="n">
        <x:v>12</x:v>
      </x:c>
      <x:c r="BB44" s="42" t="n">
        <x:v>12.4</x:v>
      </x:c>
      <x:c r="BC44" s="18" t="str">
        <x:v>["steer","drive","trailer"]</x:v>
      </x:c>
      <x:c r="BD44" s="18" t="str">
        <x:v>["off-road"]</x:v>
      </x:c>
      <x:c r="BE44" s="18" t="str">
        <x:v>["anti-tear","anti-wear","handling","puncture-resistance"]</x:v>
      </x:c>
      <x:c r="BF44" s="18" t="str">
        <x:v>tbr</x:v>
      </x:c>
      <x:c r="BG44" s="18" t="str">
        <x:v>BIZON-MODEL-DSR830</x:v>
      </x:c>
      <x:c r="BH44" s="19" t="str">
        <x:v>DOUBLESTAR COMBODIA TBR CATALOGUE.pdf</x:v>
      </x:c>
      <x:c r="BI44" s="19" t="n">
        <x:v>8</x:v>
      </x:c>
      <x:c r="BJ44" s="19" t="n">
        <x:v>1</x:v>
      </x:c>
      <x:c r="BK44" s="19" t="str">
        <x:v>verified</x:v>
      </x:c>
      <x:c r="BL44" s="18" t="str">
        <x:v>[]</x:v>
      </x:c>
      <x:c r="BM44" s="28" t="b">
        <x:v>0</x:v>
      </x:c>
      <x:c r="BN44" s="18" t="str">
        <x:v>Грузовая шина BIZON DSR830 для внедорожной эксплуатации.</x:v>
      </x:c>
      <x:c r="BO44" s="18" t="str">
        <x:v>Модель BIZON DSR830. Позиция установки по каталогу: All position. Основные заявленные свойства: Стойкость к разрывам; Износостойкость; Управляемость; Стойкость к проколам.</x:v>
      </x:c>
    </x:row>
    <x:row r="45">
      <x:c r="A45" s="20" t="str">
        <x:v>BIZON-VAR-DSR158-1200R20-20PR</x:v>
      </x:c>
      <x:c r="B45" s="20" t="str">
        <x:v>BIZON-MODEL-DSR158</x:v>
      </x:c>
      <x:c r="C45" s="20" t="str">
        <x:v>BIZON</x:v>
      </x:c>
      <x:c r="D45" s="19" t="str">
        <x:v>DOUBLESTAR</x:v>
      </x:c>
      <x:c r="E45" s="20" t="str">
        <x:v>TBR</x:v>
      </x:c>
      <x:c r="F45" s="20" t="str">
        <x:v>DSR158</x:v>
      </x:c>
      <x:c r="G45" s="20" t="str">
        <x:v>dsr158</x:v>
      </x:c>
      <x:c r="H45" s="20" t="str">
        <x:v>BIZON DSR158</x:v>
      </x:c>
      <x:c r="I45" s="20" t="str">
        <x:v>draft</x:v>
      </x:c>
      <x:c r="J45" s="19" t="str">
        <x:v>verified</x:v>
      </x:c>
      <x:c r="K45" s="19" t="str">
        <x:v>12.00R20</x:v>
      </x:c>
      <x:c r="L45" s="20" t="str">
        <x:v>12.00R20</x:v>
      </x:c>
      <x:c r="M45" s="20" t="str">
        <x:v>imperial</x:v>
      </x:c>
      <x:c r="N45" s="44"/>
      <x:c r="O45" s="44" t="n">
        <x:v>12</x:v>
      </x:c>
      <x:c r="P45" s="45"/>
      <x:c r="Q45" s="20" t="str">
        <x:v>R</x:v>
      </x:c>
      <x:c r="R45" s="44" t="n">
        <x:v>20</x:v>
      </x:c>
      <x:c r="S45" s="20" t="n">
        <x:v>20</x:v>
      </x:c>
      <x:c r="T45" s="44" t="n">
        <x:v>18</x:v>
      </x:c>
      <x:c r="U45" s="41" t="n">
        <x:v>23</x:v>
      </x:c>
      <x:c r="V45" s="44" t="n">
        <x:v>8.5</x:v>
      </x:c>
      <x:c r="W45" s="19" t="n">
        <x:v>900</x:v>
      </x:c>
      <x:c r="X45" s="19" t="n">
        <x:v>900</x:v>
      </x:c>
      <x:c r="Y45" s="19" t="str">
        <x:v>PSI</x:v>
      </x:c>
      <x:c r="Z45" s="42" t="n">
        <x:v>900</x:v>
      </x:c>
      <x:c r="AA45" s="42" t="n">
        <x:v>900</x:v>
      </x:c>
      <x:c r="AB45" s="42" t="n">
        <x:v>9</x:v>
      </x:c>
      <x:c r="AC45" s="42" t="n">
        <x:v>9</x:v>
      </x:c>
      <x:c r="AD45" s="42" t="n">
        <x:v>130.5</x:v>
      </x:c>
      <x:c r="AE45" s="42" t="n">
        <x:v>130.5</x:v>
      </x:c>
      <x:c r="AF45" s="19" t="str">
        <x:v>verified</x:v>
      </x:c>
      <x:c r="AG45" s="19" t="n">
        <x:v>4000</x:v>
      </x:c>
      <x:c r="AH45" s="19" t="n">
        <x:v>3650</x:v>
      </x:c>
      <x:c r="AI45" s="19" t="str">
        <x:v>LBS</x:v>
      </x:c>
      <x:c r="AJ45" s="42" t="n">
        <x:v>4000</x:v>
      </x:c>
      <x:c r="AK45" s="42" t="n">
        <x:v>3650</x:v>
      </x:c>
      <x:c r="AL45" s="42" t="n">
        <x:v>8818</x:v>
      </x:c>
      <x:c r="AM45" s="42" t="n">
        <x:v>8047</x:v>
      </x:c>
      <x:c r="AN45" s="19" t="str">
        <x:v>verified</x:v>
      </x:c>
      <x:c r="AO45" s="20" t="n">
        <x:v>156</x:v>
      </x:c>
      <x:c r="AP45" s="20" t="n">
        <x:v>153</x:v>
      </x:c>
      <x:c r="AQ45" s="19" t="str">
        <x:v>156 / 153</x:v>
      </x:c>
      <x:c r="AR45" s="20"/>
      <x:c r="AS45" s="20" t="str">
        <x:v>J</x:v>
      </x:c>
      <x:c r="AT45" s="20"/>
      <x:c r="AU45" s="19" t="str">
        <x:v>156/153 J</x:v>
      </x:c>
      <x:c r="AV45" s="19" t="str">
        <x:v>verified</x:v>
      </x:c>
      <x:c r="AW45" s="44" t="n">
        <x:v>1125</x:v>
      </x:c>
      <x:c r="AX45" s="19" t="n">
        <x:v>44</x:v>
      </x:c>
      <x:c r="AY45" s="42" t="n">
        <x:v>44.29</x:v>
      </x:c>
      <x:c r="AZ45" s="44" t="n">
        <x:v>315</x:v>
      </x:c>
      <x:c r="BA45" s="19" t="n">
        <x:v>12</x:v>
      </x:c>
      <x:c r="BB45" s="42" t="n">
        <x:v>12.4</x:v>
      </x:c>
      <x:c r="BC45" s="20" t="str">
        <x:v>["drive"]</x:v>
      </x:c>
      <x:c r="BD45" s="20" t="str">
        <x:v>["long-haul"]</x:v>
      </x:c>
      <x:c r="BE45" s="20" t="str">
        <x:v>["heavy-load","self-cleaning","anti-tear","stone-ejection"]</x:v>
      </x:c>
      <x:c r="BF45" s="20" t="str">
        <x:v>tbr</x:v>
      </x:c>
      <x:c r="BG45" s="20" t="str">
        <x:v>BIZON-MODEL-DSR158</x:v>
      </x:c>
      <x:c r="BH45" s="19" t="str">
        <x:v>DOUBLESTAR COMBODIA TBR CATALOGUE.pdf</x:v>
      </x:c>
      <x:c r="BI45" s="19" t="n">
        <x:v>9</x:v>
      </x:c>
      <x:c r="BJ45" s="19" t="n">
        <x:v>1</x:v>
      </x:c>
      <x:c r="BK45" s="19" t="str">
        <x:v>verified</x:v>
      </x:c>
      <x:c r="BL45" s="20" t="str">
        <x:v>[]</x:v>
      </x:c>
      <x:c r="BM45" s="31" t="b">
        <x:v>0</x:v>
      </x:c>
      <x:c r="BN45" s="20" t="str">
        <x:v>Грузовая шина BIZON DSR158 для магистральной эксплуатации.</x:v>
      </x:c>
      <x:c r="BO45" s="20" t="str">
        <x:v>Модель BIZON DSR158. Позиция установки по каталогу: Drive. Основные заявленные свойства: Высокая грузоподъёмность; Самоочищение; Стойкость к разрывам; Удаление камней.</x:v>
      </x:c>
    </x:row>
    <x:row r="46">
      <x:c r="A46" s="18" t="str">
        <x:v>BIZON-VAR-DSR188-1200R20-20PR</x:v>
      </x:c>
      <x:c r="B46" s="18" t="str">
        <x:v>BIZON-MODEL-DSR188</x:v>
      </x:c>
      <x:c r="C46" s="18" t="str">
        <x:v>BIZON</x:v>
      </x:c>
      <x:c r="D46" s="19" t="str">
        <x:v>DOUBLESTAR</x:v>
      </x:c>
      <x:c r="E46" s="18" t="str">
        <x:v>TBR</x:v>
      </x:c>
      <x:c r="F46" s="18" t="str">
        <x:v>DSR188</x:v>
      </x:c>
      <x:c r="G46" s="18" t="str">
        <x:v>dsr188</x:v>
      </x:c>
      <x:c r="H46" s="18" t="str">
        <x:v>BIZON DSR188</x:v>
      </x:c>
      <x:c r="I46" s="18" t="str">
        <x:v>draft</x:v>
      </x:c>
      <x:c r="J46" s="19" t="str">
        <x:v>verified</x:v>
      </x:c>
      <x:c r="K46" s="19" t="str">
        <x:v>12.00R20</x:v>
      </x:c>
      <x:c r="L46" s="18" t="str">
        <x:v>12.00R20</x:v>
      </x:c>
      <x:c r="M46" s="18" t="str">
        <x:v>imperial</x:v>
      </x:c>
      <x:c r="N46" s="39"/>
      <x:c r="O46" s="39" t="n">
        <x:v>12</x:v>
      </x:c>
      <x:c r="P46" s="40"/>
      <x:c r="Q46" s="18" t="str">
        <x:v>R</x:v>
      </x:c>
      <x:c r="R46" s="39" t="n">
        <x:v>20</x:v>
      </x:c>
      <x:c r="S46" s="18" t="n">
        <x:v>20</x:v>
      </x:c>
      <x:c r="T46" s="39" t="n">
        <x:v>17.5</x:v>
      </x:c>
      <x:c r="U46" s="41" t="n">
        <x:v>22</x:v>
      </x:c>
      <x:c r="V46" s="39" t="n">
        <x:v>8.5</x:v>
      </x:c>
      <x:c r="W46" s="19" t="n">
        <x:v>900</x:v>
      </x:c>
      <x:c r="X46" s="19" t="n">
        <x:v>900</x:v>
      </x:c>
      <x:c r="Y46" s="19" t="str">
        <x:v>PSI</x:v>
      </x:c>
      <x:c r="Z46" s="42" t="n">
        <x:v>900</x:v>
      </x:c>
      <x:c r="AA46" s="42" t="n">
        <x:v>900</x:v>
      </x:c>
      <x:c r="AB46" s="42" t="n">
        <x:v>9</x:v>
      </x:c>
      <x:c r="AC46" s="42" t="n">
        <x:v>9</x:v>
      </x:c>
      <x:c r="AD46" s="42" t="n">
        <x:v>130.5</x:v>
      </x:c>
      <x:c r="AE46" s="42" t="n">
        <x:v>130.5</x:v>
      </x:c>
      <x:c r="AF46" s="19" t="str">
        <x:v>verified</x:v>
      </x:c>
      <x:c r="AG46" s="19" t="n">
        <x:v>4000</x:v>
      </x:c>
      <x:c r="AH46" s="19" t="n">
        <x:v>3650</x:v>
      </x:c>
      <x:c r="AI46" s="19" t="str">
        <x:v>LBS</x:v>
      </x:c>
      <x:c r="AJ46" s="42" t="n">
        <x:v>4000</x:v>
      </x:c>
      <x:c r="AK46" s="42" t="n">
        <x:v>3650</x:v>
      </x:c>
      <x:c r="AL46" s="42" t="n">
        <x:v>8818</x:v>
      </x:c>
      <x:c r="AM46" s="42" t="n">
        <x:v>8047</x:v>
      </x:c>
      <x:c r="AN46" s="19" t="str">
        <x:v>verified</x:v>
      </x:c>
      <x:c r="AO46" s="18" t="n">
        <x:v>156</x:v>
      </x:c>
      <x:c r="AP46" s="18" t="n">
        <x:v>183</x:v>
      </x:c>
      <x:c r="AQ46" s="19" t="str">
        <x:v>156 / 183</x:v>
      </x:c>
      <x:c r="AR46" s="18"/>
      <x:c r="AS46" s="18" t="str">
        <x:v>K</x:v>
      </x:c>
      <x:c r="AT46" s="18"/>
      <x:c r="AU46" s="19" t="str">
        <x:v>156/183 K</x:v>
      </x:c>
      <x:c r="AV46" s="19" t="str">
        <x:v>needs_review</x:v>
      </x:c>
      <x:c r="AW46" s="39" t="n">
        <x:v>1125</x:v>
      </x:c>
      <x:c r="AX46" s="19" t="n">
        <x:v>44</x:v>
      </x:c>
      <x:c r="AY46" s="42" t="n">
        <x:v>44.29</x:v>
      </x:c>
      <x:c r="AZ46" s="39" t="n">
        <x:v>315</x:v>
      </x:c>
      <x:c r="BA46" s="19" t="n">
        <x:v>12</x:v>
      </x:c>
      <x:c r="BB46" s="42" t="n">
        <x:v>12.4</x:v>
      </x:c>
      <x:c r="BC46" s="18" t="str">
        <x:v>["steer","drive","trailer"]</x:v>
      </x:c>
      <x:c r="BD46" s="18" t="str">
        <x:v>["regional"]</x:v>
      </x:c>
      <x:c r="BE46" s="18" t="str">
        <x:v>["anti-wear","economy","heavy-load","heat-dissipation"]</x:v>
      </x:c>
      <x:c r="BF46" s="18" t="str">
        <x:v>tbr</x:v>
      </x:c>
      <x:c r="BG46" s="18" t="str">
        <x:v>BIZON-MODEL-DSR188</x:v>
      </x:c>
      <x:c r="BH46" s="19" t="str">
        <x:v>DOUBLESTAR COMBODIA TBR CATALOGUE.pdf</x:v>
      </x:c>
      <x:c r="BI46" s="19" t="n">
        <x:v>9</x:v>
      </x:c>
      <x:c r="BJ46" s="19" t="n">
        <x:v>1</x:v>
      </x:c>
      <x:c r="BK46" s="19" t="str">
        <x:v>needs_review</x:v>
      </x:c>
      <x:c r="BL46" s="18" t="str">
        <x:v>["suspicious_load_index_183"]</x:v>
      </x:c>
      <x:c r="BM46" s="28" t="b">
        <x:v>1</x:v>
      </x:c>
      <x:c r="BN46" s="18" t="str">
        <x:v>Грузовая шина BIZON DSR188 для региональной эксплуатации.</x:v>
      </x:c>
      <x:c r="BO46" s="18" t="str">
        <x:v>Модель BIZON DSR188. Позиция установки по каталогу: All position. Основные заявленные свойства: Износостойкость; Экономичность; Высокая грузоподъёмность; Теплоотвод.</x:v>
      </x:c>
    </x:row>
    <x:row r="47">
      <x:c r="A47" s="20" t="str">
        <x:v>BIZON-VAR-DSR188-1200R20-18PR</x:v>
      </x:c>
      <x:c r="B47" s="20" t="str">
        <x:v>BIZON-MODEL-DSR188</x:v>
      </x:c>
      <x:c r="C47" s="20" t="str">
        <x:v>BIZON</x:v>
      </x:c>
      <x:c r="D47" s="19" t="str">
        <x:v>DOUBLESTAR</x:v>
      </x:c>
      <x:c r="E47" s="20" t="str">
        <x:v>TBR</x:v>
      </x:c>
      <x:c r="F47" s="20" t="str">
        <x:v>DSR188</x:v>
      </x:c>
      <x:c r="G47" s="20" t="str">
        <x:v>dsr188</x:v>
      </x:c>
      <x:c r="H47" s="20" t="str">
        <x:v>BIZON DSR188</x:v>
      </x:c>
      <x:c r="I47" s="20" t="str">
        <x:v>draft</x:v>
      </x:c>
      <x:c r="J47" s="19" t="str">
        <x:v>verified</x:v>
      </x:c>
      <x:c r="K47" s="19" t="str">
        <x:v>12.00R20</x:v>
      </x:c>
      <x:c r="L47" s="20" t="str">
        <x:v>12.00R20</x:v>
      </x:c>
      <x:c r="M47" s="20" t="str">
        <x:v>imperial</x:v>
      </x:c>
      <x:c r="N47" s="44"/>
      <x:c r="O47" s="44" t="n">
        <x:v>12</x:v>
      </x:c>
      <x:c r="P47" s="45"/>
      <x:c r="Q47" s="20" t="str">
        <x:v>R</x:v>
      </x:c>
      <x:c r="R47" s="44" t="n">
        <x:v>20</x:v>
      </x:c>
      <x:c r="S47" s="20" t="n">
        <x:v>18</x:v>
      </x:c>
      <x:c r="T47" s="44" t="n">
        <x:v>17.5</x:v>
      </x:c>
      <x:c r="U47" s="41" t="n">
        <x:v>22</x:v>
      </x:c>
      <x:c r="V47" s="44" t="n">
        <x:v>8.5</x:v>
      </x:c>
      <x:c r="W47" s="19" t="n">
        <x:v>830</x:v>
      </x:c>
      <x:c r="X47" s="19" t="n">
        <x:v>830</x:v>
      </x:c>
      <x:c r="Y47" s="19" t="str">
        <x:v>PSI</x:v>
      </x:c>
      <x:c r="Z47" s="42" t="n">
        <x:v>830</x:v>
      </x:c>
      <x:c r="AA47" s="42" t="n">
        <x:v>830</x:v>
      </x:c>
      <x:c r="AB47" s="42" t="n">
        <x:v>8.3</x:v>
      </x:c>
      <x:c r="AC47" s="42" t="n">
        <x:v>8.3</x:v>
      </x:c>
      <x:c r="AD47" s="42" t="n">
        <x:v>120.4</x:v>
      </x:c>
      <x:c r="AE47" s="42" t="n">
        <x:v>120.4</x:v>
      </x:c>
      <x:c r="AF47" s="19" t="str">
        <x:v>verified</x:v>
      </x:c>
      <x:c r="AG47" s="19" t="n">
        <x:v>3750</x:v>
      </x:c>
      <x:c r="AH47" s="19" t="n">
        <x:v>3450</x:v>
      </x:c>
      <x:c r="AI47" s="19" t="str">
        <x:v>LBS</x:v>
      </x:c>
      <x:c r="AJ47" s="42" t="n">
        <x:v>3750</x:v>
      </x:c>
      <x:c r="AK47" s="42" t="n">
        <x:v>3450</x:v>
      </x:c>
      <x:c r="AL47" s="42" t="n">
        <x:v>8267</x:v>
      </x:c>
      <x:c r="AM47" s="42" t="n">
        <x:v>7606</x:v>
      </x:c>
      <x:c r="AN47" s="19" t="str">
        <x:v>verified</x:v>
      </x:c>
      <x:c r="AO47" s="20" t="n">
        <x:v>154</x:v>
      </x:c>
      <x:c r="AP47" s="20" t="n">
        <x:v>151</x:v>
      </x:c>
      <x:c r="AQ47" s="19" t="str">
        <x:v>154 / 151</x:v>
      </x:c>
      <x:c r="AR47" s="20"/>
      <x:c r="AS47" s="20" t="str">
        <x:v>K</x:v>
      </x:c>
      <x:c r="AT47" s="20"/>
      <x:c r="AU47" s="19" t="str">
        <x:v>154/151 K</x:v>
      </x:c>
      <x:c r="AV47" s="19" t="str">
        <x:v>verified</x:v>
      </x:c>
      <x:c r="AW47" s="44" t="n">
        <x:v>1125</x:v>
      </x:c>
      <x:c r="AX47" s="19" t="n">
        <x:v>44</x:v>
      </x:c>
      <x:c r="AY47" s="42" t="n">
        <x:v>44.29</x:v>
      </x:c>
      <x:c r="AZ47" s="44" t="n">
        <x:v>315</x:v>
      </x:c>
      <x:c r="BA47" s="19" t="n">
        <x:v>12</x:v>
      </x:c>
      <x:c r="BB47" s="42" t="n">
        <x:v>12.4</x:v>
      </x:c>
      <x:c r="BC47" s="20" t="str">
        <x:v>["steer","drive","trailer"]</x:v>
      </x:c>
      <x:c r="BD47" s="20" t="str">
        <x:v>["regional"]</x:v>
      </x:c>
      <x:c r="BE47" s="20" t="str">
        <x:v>["anti-wear","economy","heavy-load","heat-dissipation"]</x:v>
      </x:c>
      <x:c r="BF47" s="20" t="str">
        <x:v>tbr</x:v>
      </x:c>
      <x:c r="BG47" s="20" t="str">
        <x:v>BIZON-MODEL-DSR188</x:v>
      </x:c>
      <x:c r="BH47" s="19" t="str">
        <x:v>DOUBLESTAR COMBODIA TBR CATALOGUE.pdf</x:v>
      </x:c>
      <x:c r="BI47" s="19" t="n">
        <x:v>9</x:v>
      </x:c>
      <x:c r="BJ47" s="19" t="n">
        <x:v>2</x:v>
      </x:c>
      <x:c r="BK47" s="19" t="str">
        <x:v>verified</x:v>
      </x:c>
      <x:c r="BL47" s="20" t="str">
        <x:v>[]</x:v>
      </x:c>
      <x:c r="BM47" s="31" t="b">
        <x:v>0</x:v>
      </x:c>
      <x:c r="BN47" s="20" t="str">
        <x:v>Грузовая шина BIZON DSR188 для региональной эксплуатации.</x:v>
      </x:c>
      <x:c r="BO47" s="20" t="str">
        <x:v>Модель BIZON DSR188. Позиция установки по каталогу: All position. Основные заявленные свойства: Износостойкость; Экономичность; Высокая грузоподъёмность; Теплоотвод.</x:v>
      </x:c>
    </x:row>
    <x:row r="48">
      <x:c r="A48" s="18" t="str">
        <x:v>BIZON-VAR-TAX106-44545R195-20PR</x:v>
      </x:c>
      <x:c r="B48" s="18" t="str">
        <x:v>BIZON-MODEL-TAX106</x:v>
      </x:c>
      <x:c r="C48" s="18" t="str">
        <x:v>BIZON</x:v>
      </x:c>
      <x:c r="D48" s="19" t="str">
        <x:v>DOUBLESTAR</x:v>
      </x:c>
      <x:c r="E48" s="18" t="str">
        <x:v>TBR</x:v>
      </x:c>
      <x:c r="F48" s="18" t="str">
        <x:v>TAX106</x:v>
      </x:c>
      <x:c r="G48" s="18" t="str">
        <x:v>tax106</x:v>
      </x:c>
      <x:c r="H48" s="18" t="str">
        <x:v>BIZON TAX106</x:v>
      </x:c>
      <x:c r="I48" s="18" t="str">
        <x:v>draft</x:v>
      </x:c>
      <x:c r="J48" s="19" t="str">
        <x:v>verified</x:v>
      </x:c>
      <x:c r="K48" s="19" t="str">
        <x:v>445/45R19.5</x:v>
      </x:c>
      <x:c r="L48" s="18" t="str">
        <x:v>445/45R19.5</x:v>
      </x:c>
      <x:c r="M48" s="18" t="str">
        <x:v>metric</x:v>
      </x:c>
      <x:c r="N48" s="39" t="n">
        <x:v>445</x:v>
      </x:c>
      <x:c r="O48" s="39"/>
      <x:c r="P48" s="40" t="n">
        <x:v>45</x:v>
      </x:c>
      <x:c r="Q48" s="18" t="str">
        <x:v>R</x:v>
      </x:c>
      <x:c r="R48" s="39" t="n">
        <x:v>19.5</x:v>
      </x:c>
      <x:c r="S48" s="18" t="n">
        <x:v>20</x:v>
      </x:c>
      <x:c r="T48" s="39" t="n">
        <x:v>13.5</x:v>
      </x:c>
      <x:c r="U48" s="41" t="n">
        <x:v>17</x:v>
      </x:c>
      <x:c r="V48" s="39" t="n">
        <x:v>15</x:v>
      </x:c>
      <x:c r="W48" s="19" t="n">
        <x:v>900</x:v>
      </x:c>
      <x:c r="X48" s="19"/>
      <x:c r="Y48" s="19" t="str">
        <x:v>PSI</x:v>
      </x:c>
      <x:c r="Z48" s="42" t="n">
        <x:v>900</x:v>
      </x:c>
      <x:c r="AA48" s="42"/>
      <x:c r="AB48" s="42" t="n">
        <x:v>9</x:v>
      </x:c>
      <x:c r="AC48" s="42"/>
      <x:c r="AD48" s="42" t="n">
        <x:v>130.5</x:v>
      </x:c>
      <x:c r="AE48" s="42"/>
      <x:c r="AF48" s="19" t="str">
        <x:v>verified</x:v>
      </x:c>
      <x:c r="AG48" s="19" t="n">
        <x:v>4500</x:v>
      </x:c>
      <x:c r="AH48" s="19"/>
      <x:c r="AI48" s="19" t="str">
        <x:v>LBS</x:v>
      </x:c>
      <x:c r="AJ48" s="42" t="n">
        <x:v>4500</x:v>
      </x:c>
      <x:c r="AK48" s="42"/>
      <x:c r="AL48" s="42" t="n">
        <x:v>9921</x:v>
      </x:c>
      <x:c r="AM48" s="42"/>
      <x:c r="AN48" s="19" t="str">
        <x:v>verified</x:v>
      </x:c>
      <x:c r="AO48" s="18" t="n">
        <x:v>160</x:v>
      </x:c>
      <x:c r="AP48" s="18"/>
      <x:c r="AQ48" s="19" t="str">
        <x:v>160</x:v>
      </x:c>
      <x:c r="AR48" s="18"/>
      <x:c r="AS48" s="18" t="str">
        <x:v>J</x:v>
      </x:c>
      <x:c r="AT48" s="18"/>
      <x:c r="AU48" s="19" t="str">
        <x:v>160 J</x:v>
      </x:c>
      <x:c r="AV48" s="19" t="str">
        <x:v>verified</x:v>
      </x:c>
      <x:c r="AW48" s="39" t="n">
        <x:v>895</x:v>
      </x:c>
      <x:c r="AX48" s="19" t="n">
        <x:v>35</x:v>
      </x:c>
      <x:c r="AY48" s="42" t="n">
        <x:v>35.24</x:v>
      </x:c>
      <x:c r="AZ48" s="39" t="n">
        <x:v>446</x:v>
      </x:c>
      <x:c r="BA48" s="19" t="n">
        <x:v>18</x:v>
      </x:c>
      <x:c r="BB48" s="42" t="n">
        <x:v>17.56</x:v>
      </x:c>
      <x:c r="BC48" s="18" t="str">
        <x:v>["drive","trailer"]</x:v>
      </x:c>
      <x:c r="BD48" s="18" t="str">
        <x:v>["long-haul","urban"]</x:v>
      </x:c>
      <x:c r="BE48" s="18" t="str">
        <x:v>["low-noise","anti-wear","economy","safety"]</x:v>
      </x:c>
      <x:c r="BF48" s="18" t="str">
        <x:v>tbr</x:v>
      </x:c>
      <x:c r="BG48" s="18" t="str">
        <x:v>BIZON-MODEL-TAX106</x:v>
      </x:c>
      <x:c r="BH48" s="19" t="str">
        <x:v>DOUBLESTAR COMBODIA TBR CATALOGUE.pdf</x:v>
      </x:c>
      <x:c r="BI48" s="19" t="n">
        <x:v>9</x:v>
      </x:c>
      <x:c r="BJ48" s="19" t="n">
        <x:v>1</x:v>
      </x:c>
      <x:c r="BK48" s="19" t="str">
        <x:v>verified</x:v>
      </x:c>
      <x:c r="BL48" s="18" t="str">
        <x:v>[]</x:v>
      </x:c>
      <x:c r="BM48" s="28" t="b">
        <x:v>0</x:v>
      </x:c>
      <x:c r="BN48" s="18" t="str">
        <x:v>Грузовая шина BIZON TAX106 для магистральной и городской эксплуатации.</x:v>
      </x:c>
      <x:c r="BO48" s="18" t="str">
        <x:v>Модель BIZON TAX106. Позиция установки по каталогу: Drive and trailer. Основные заявленные свойства: Низкий уровень шума; Износостойкость; Экономичность; Безопасность.</x:v>
      </x:c>
    </x:row>
    <x:row r="49">
      <x:c r="A49" s="20" t="str">
        <x:v>BIZON-VAR-TTX108-43550R195-20PR</x:v>
      </x:c>
      <x:c r="B49" s="20" t="str">
        <x:v>BIZON-MODEL-TTX108</x:v>
      </x:c>
      <x:c r="C49" s="20" t="str">
        <x:v>BIZON</x:v>
      </x:c>
      <x:c r="D49" s="19" t="str">
        <x:v>DOUBLESTAR</x:v>
      </x:c>
      <x:c r="E49" s="20" t="str">
        <x:v>TBR</x:v>
      </x:c>
      <x:c r="F49" s="20" t="str">
        <x:v>TTX108</x:v>
      </x:c>
      <x:c r="G49" s="20" t="str">
        <x:v>ttx108</x:v>
      </x:c>
      <x:c r="H49" s="20" t="str">
        <x:v>BIZON TTX108</x:v>
      </x:c>
      <x:c r="I49" s="20" t="str">
        <x:v>draft</x:v>
      </x:c>
      <x:c r="J49" s="19" t="str">
        <x:v>verified</x:v>
      </x:c>
      <x:c r="K49" s="19" t="str">
        <x:v>435/50R19.5</x:v>
      </x:c>
      <x:c r="L49" s="20" t="str">
        <x:v>435/50R19.5</x:v>
      </x:c>
      <x:c r="M49" s="20" t="str">
        <x:v>metric</x:v>
      </x:c>
      <x:c r="N49" s="44" t="n">
        <x:v>435</x:v>
      </x:c>
      <x:c r="O49" s="44"/>
      <x:c r="P49" s="45" t="n">
        <x:v>50</x:v>
      </x:c>
      <x:c r="Q49" s="20" t="str">
        <x:v>R</x:v>
      </x:c>
      <x:c r="R49" s="44" t="n">
        <x:v>19.5</x:v>
      </x:c>
      <x:c r="S49" s="20" t="n">
        <x:v>20</x:v>
      </x:c>
      <x:c r="T49" s="44" t="n">
        <x:v>13.5</x:v>
      </x:c>
      <x:c r="U49" s="41" t="n">
        <x:v>17</x:v>
      </x:c>
      <x:c r="V49" s="44" t="n">
        <x:v>14</x:v>
      </x:c>
      <x:c r="W49" s="19" t="n">
        <x:v>900</x:v>
      </x:c>
      <x:c r="X49" s="19"/>
      <x:c r="Y49" s="19" t="str">
        <x:v>PSI</x:v>
      </x:c>
      <x:c r="Z49" s="42" t="n">
        <x:v>900</x:v>
      </x:c>
      <x:c r="AA49" s="42"/>
      <x:c r="AB49" s="42" t="n">
        <x:v>9</x:v>
      </x:c>
      <x:c r="AC49" s="42"/>
      <x:c r="AD49" s="42" t="n">
        <x:v>130.5</x:v>
      </x:c>
      <x:c r="AE49" s="42"/>
      <x:c r="AF49" s="19" t="str">
        <x:v>verified</x:v>
      </x:c>
      <x:c r="AG49" s="19" t="n">
        <x:v>4500</x:v>
      </x:c>
      <x:c r="AH49" s="19"/>
      <x:c r="AI49" s="19" t="str">
        <x:v>LBS</x:v>
      </x:c>
      <x:c r="AJ49" s="42" t="n">
        <x:v>4500</x:v>
      </x:c>
      <x:c r="AK49" s="42"/>
      <x:c r="AL49" s="42" t="n">
        <x:v>9921</x:v>
      </x:c>
      <x:c r="AM49" s="42"/>
      <x:c r="AN49" s="19" t="str">
        <x:v>verified</x:v>
      </x:c>
      <x:c r="AO49" s="20" t="n">
        <x:v>160</x:v>
      </x:c>
      <x:c r="AP49" s="20"/>
      <x:c r="AQ49" s="19" t="str">
        <x:v>160</x:v>
      </x:c>
      <x:c r="AR49" s="20"/>
      <x:c r="AS49" s="20" t="str">
        <x:v>J</x:v>
      </x:c>
      <x:c r="AT49" s="20"/>
      <x:c r="AU49" s="19" t="str">
        <x:v>160 J</x:v>
      </x:c>
      <x:c r="AV49" s="19" t="str">
        <x:v>verified</x:v>
      </x:c>
      <x:c r="AW49" s="44" t="n">
        <x:v>931</x:v>
      </x:c>
      <x:c r="AX49" s="19" t="n">
        <x:v>37</x:v>
      </x:c>
      <x:c r="AY49" s="42" t="n">
        <x:v>36.65</x:v>
      </x:c>
      <x:c r="AZ49" s="44" t="n">
        <x:v>438</x:v>
      </x:c>
      <x:c r="BA49" s="19" t="n">
        <x:v>17</x:v>
      </x:c>
      <x:c r="BB49" s="42" t="n">
        <x:v>17.24</x:v>
      </x:c>
      <x:c r="BC49" s="20" t="str">
        <x:v>["drive","trailer"]</x:v>
      </x:c>
      <x:c r="BD49" s="20" t="str">
        <x:v>["long-haul"]</x:v>
      </x:c>
      <x:c r="BE49" s="20" t="str">
        <x:v>["low-noise","anti-wear","economy","safety"]</x:v>
      </x:c>
      <x:c r="BF49" s="20" t="str">
        <x:v>tbr</x:v>
      </x:c>
      <x:c r="BG49" s="20" t="str">
        <x:v>BIZON-MODEL-TTX108</x:v>
      </x:c>
      <x:c r="BH49" s="19" t="str">
        <x:v>DOUBLESTAR COMBODIA TBR CATALOGUE.pdf</x:v>
      </x:c>
      <x:c r="BI49" s="19" t="n">
        <x:v>9</x:v>
      </x:c>
      <x:c r="BJ49" s="19" t="n">
        <x:v>1</x:v>
      </x:c>
      <x:c r="BK49" s="19" t="str">
        <x:v>verified</x:v>
      </x:c>
      <x:c r="BL49" s="20" t="str">
        <x:v>[]</x:v>
      </x:c>
      <x:c r="BM49" s="31" t="b">
        <x:v>0</x:v>
      </x:c>
      <x:c r="BN49" s="20" t="str">
        <x:v>Грузовая шина BIZON TTX108 для магистральной эксплуатации.</x:v>
      </x:c>
      <x:c r="BO49" s="20" t="str">
        <x:v>Модель BIZON TTX108. Позиция установки по каталогу: Drive and trailer. Основные заявленные свойства: Низкий уровень шума; Износостойкость; Экономичность; Безопасность.</x:v>
      </x:c>
    </x:row>
  </x:sheetData>
  <x:conditionalFormatting sqref="J2:J49">
    <x:cfRule type="containsText" dxfId="22" priority="1" operator="containsText" text="verified"/>
    <x:cfRule type="containsText" dxfId="23" priority="2" operator="containsText" text="needs_review"/>
    <x:cfRule type="containsText" dxfId="24" priority="3" operator="containsText" text="rejected"/>
  </x:conditionalFormatting>
  <x:conditionalFormatting sqref="AF2:AF49">
    <x:cfRule type="containsText" dxfId="25" priority="4" operator="containsText" text="verified"/>
    <x:cfRule type="containsText" dxfId="26" priority="5" operator="containsText" text="needs_review"/>
    <x:cfRule type="containsText" dxfId="27" priority="6" operator="containsText" text="rejected"/>
  </x:conditionalFormatting>
  <x:conditionalFormatting sqref="AN2:AN49">
    <x:cfRule type="containsText" dxfId="28" priority="7" operator="containsText" text="verified"/>
    <x:cfRule type="containsText" dxfId="29" priority="8" operator="containsText" text="needs_review"/>
    <x:cfRule type="containsText" dxfId="30" priority="9" operator="containsText" text="rejected"/>
  </x:conditionalFormatting>
  <x:conditionalFormatting sqref="AV2:AV49">
    <x:cfRule type="containsText" dxfId="31" priority="10" operator="containsText" text="verified"/>
    <x:cfRule type="containsText" dxfId="32" priority="11" operator="containsText" text="needs_review"/>
    <x:cfRule type="containsText" dxfId="33" priority="12" operator="containsText" text="rejected"/>
  </x:conditionalFormatting>
  <x:conditionalFormatting sqref="BK2:BK49">
    <x:cfRule type="containsText" dxfId="34" priority="13" operator="containsText" text="verified"/>
    <x:cfRule type="containsText" dxfId="35" priority="14" operator="containsText" text="needs_review"/>
    <x:cfRule type="containsText" dxfId="36" priority="15" operator="containsText" text="rejected"/>
  </x:conditionalFormatting>
  <x:conditionalFormatting sqref="BM2:BM49">
    <x:cfRule type="cellIs" dxfId="37" priority="16" operator="equal">
      <x:formula>1</x:formula>
    </x:cfRule>
  </x:conditionalFormatting>
  <x:dataValidations count="11">
    <x:dataValidation type="list" sqref="I2:I49">
      <x:formula1>"draft,review,published,archived"</x:formula1>
    </x:dataValidation>
    <x:dataValidation type="list" sqref="BK2:BK49">
      <x:formula1>"verified,needs_review,source_only,rejected"</x:formula1>
    </x:dataValidation>
    <x:dataValidation type="list" sqref="AF2:AF49">
      <x:formula1>"verified,needs_review,source_only,rejected"</x:formula1>
    </x:dataValidation>
    <x:dataValidation type="list" sqref="AN2:AN49">
      <x:formula1>"verified,needs_review,source_only,rejected"</x:formula1>
    </x:dataValidation>
    <x:dataValidation type="list" sqref="AV2:AV49">
      <x:formula1>"verified,needs_review,source_only,rejected"</x:formula1>
    </x:dataValidation>
    <x:dataValidation type="list" sqref="M2:M49">
      <x:formula1>"metric,imperial"</x:formula1>
    </x:dataValidation>
    <x:dataValidation type="list" sqref="AS2:AS49">
      <x:formula1>"B,F,G,J,K,L,M"</x:formula1>
    </x:dataValidation>
    <x:dataValidation type="list" sqref="Q2:Q49">
      <x:formula1>"R"</x:formula1>
    </x:dataValidation>
    <x:dataValidation type="list" sqref="BC2:BC49">
      <x:formula1>"TRUE,FALSE"</x:formula1>
    </x:dataValidation>
    <x:dataValidation type="list" sqref="BD2:BD49">
      <x:formula1>"TRUE,FALSE"</x:formula1>
    </x:dataValidation>
    <x:dataValidation type="list" sqref="BM2:BM49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19254efa8594bcb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9" hidden="0" customWidth="1"/>
    <x:col min="3" max="3" width="14" hidden="0" customWidth="1"/>
    <x:col min="4" max="4" width="16" hidden="0" customWidth="1"/>
    <x:col min="5" max="5" width="28" hidden="0" customWidth="1"/>
    <x:col min="6" max="6" width="26" hidden="0" customWidth="1"/>
    <x:col min="7" max="7" width="24" hidden="0" customWidth="1"/>
    <x:col min="8" max="8" width="28" hidden="0" customWidth="1"/>
    <x:col min="9" max="9" width="34" hidden="0" customWidth="1"/>
    <x:col min="10" max="10" width="26" hidden="0" customWidth="1"/>
    <x:col min="11" max="11" width="14" hidden="0" customWidth="1"/>
    <x:col min="12" max="12" width="30" hidden="0" customWidth="1"/>
  </x:cols>
  <x:sheetData>
    <x:row r="1" ht="34" customHeight="1">
      <x:c r="A1" s="17" t="str">
        <x:v>change_id</x:v>
      </x:c>
      <x:c r="B1" s="17" t="str">
        <x:v>changed_at</x:v>
      </x:c>
      <x:c r="C1" s="17" t="str">
        <x:v>changed_by</x:v>
      </x:c>
      <x:c r="D1" s="17" t="str">
        <x:v>entity_type</x:v>
      </x:c>
      <x:c r="E1" s="17" t="str">
        <x:v>entity_id</x:v>
      </x:c>
      <x:c r="F1" s="17" t="str">
        <x:v>field</x:v>
      </x:c>
      <x:c r="G1" s="17" t="str">
        <x:v>old_value</x:v>
      </x:c>
      <x:c r="H1" s="17" t="str">
        <x:v>new_value</x:v>
      </x:c>
      <x:c r="I1" s="17" t="str">
        <x:v>reason</x:v>
      </x:c>
      <x:c r="J1" s="17" t="str">
        <x:v>source</x:v>
      </x:c>
      <x:c r="K1" s="17" t="str">
        <x:v>approved_by</x:v>
      </x:c>
      <x:c r="L1" s="17" t="str">
        <x:v>notes</x:v>
      </x:c>
    </x:row>
    <x:row r="2">
      <x:c r="A2" s="18" t="str">
        <x:v>CHG-0001</x:v>
      </x:c>
      <x:c r="B2" s="47" t="n">
        <x:v>46229</x:v>
      </x:c>
      <x:c r="C2" s="18" t="str">
        <x:v>Codex</x:v>
      </x:c>
      <x:c r="D2" s="18" t="str">
        <x:v>workbook</x:v>
      </x:c>
      <x:c r="E2" s="18" t="str">
        <x:v>BIZON-TBR-CATALOG</x:v>
      </x:c>
      <x:c r="F2" s="18" t="str">
        <x:v>initial_import</x:v>
      </x:c>
      <x:c r="G2" s="18" t="str"/>
      <x:c r="H2" s="18" t="str">
        <x:v>Initial catalog extraction; public brand BIZON; source brand DOUBLESTAR</x:v>
      </x:c>
      <x:c r="I2" s="18" t="str">
        <x:v>Initial catalog extraction from Doublestar TBR catalogue; public brand changed to BIZON; source brand retained as DOUBLESTAR.</x:v>
      </x:c>
      <x:c r="J2" s="19" t="str">
        <x:v>DOUBLESTAR COMBODIA TBR CATALOGUE.pdf</x:v>
      </x:c>
      <x:c r="K2" s="18" t="str"/>
      <x:c r="L2" s="19" t="str">
        <x:v>Critical units remain unconfirmed; workbook is not production-import ready.</x:v>
      </x:c>
    </x:row>
    <x:row r="3" ht="58" customHeight="1">
      <x:c r="A3" s="49" t="str">
        <x:v>CHG-0002</x:v>
      </x:c>
      <x:c r="B3" s="50" t="n">
        <x:v>46229.270833333336</x:v>
      </x:c>
      <x:c r="C3" s="49" t="str">
        <x:v>User</x:v>
      </x:c>
      <x:c r="D3" s="49" t="str">
        <x:v>catalog_rules</x:v>
      </x:c>
      <x:c r="E3" s="49" t="str">
        <x:v>BIZON-TBR-CATALOG</x:v>
      </x:c>
      <x:c r="F3" s="49" t="str">
        <x:v>pressure_unit</x:v>
      </x:c>
      <x:c r="G3" s="49" t="str">
        <x:v>needs_review / working kPa</x:v>
      </x:c>
      <x:c r="H3" s="49" t="str">
        <x:v>verified / canonical kPa</x:v>
      </x:c>
      <x:c r="I3" s="49" t="str">
        <x:v>Pressure unit approved as kPa</x:v>
      </x:c>
      <x:c r="J3" s="49" t="str">
        <x:v>User decision 2026-07-26</x:v>
      </x:c>
      <x:c r="K3" s="49" t="str">
        <x:v>User</x:v>
      </x:c>
      <x:c r="L3" s="49" t="str">
        <x:v>Source label PSI retained for audit.</x:v>
      </x:c>
    </x:row>
    <x:row r="4" ht="58" customHeight="1">
      <x:c r="A4" s="49" t="str">
        <x:v>CHG-0003</x:v>
      </x:c>
      <x:c r="B4" s="50" t="n">
        <x:v>46229.270833333336</x:v>
      </x:c>
      <x:c r="C4" s="49" t="str">
        <x:v>User</x:v>
      </x:c>
      <x:c r="D4" s="49" t="str">
        <x:v>catalog_rules</x:v>
      </x:c>
      <x:c r="E4" s="49" t="str">
        <x:v>BIZON-TBR-CATALOG</x:v>
      </x:c>
      <x:c r="F4" s="49" t="str">
        <x:v>max_load_unit</x:v>
      </x:c>
      <x:c r="G4" s="49" t="str">
        <x:v>needs_review / working kg</x:v>
      </x:c>
      <x:c r="H4" s="49" t="str">
        <x:v>verified / canonical kg</x:v>
      </x:c>
      <x:c r="I4" s="49" t="str">
        <x:v>Max. Load unit approved as kg</x:v>
      </x:c>
      <x:c r="J4" s="49" t="str">
        <x:v>User decision 2026-07-26</x:v>
      </x:c>
      <x:c r="K4" s="49" t="str">
        <x:v>User</x:v>
      </x:c>
      <x:c r="L4" s="49" t="str">
        <x:v>Source label LBS retained for audit.</x:v>
      </x:c>
    </x:row>
    <x:row r="5" ht="58" customHeight="1">
      <x:c r="A5" s="49" t="str">
        <x:v>CHG-0004</x:v>
      </x:c>
      <x:c r="B5" s="50" t="n">
        <x:v>46229.270833333336</x:v>
      </x:c>
      <x:c r="C5" s="49" t="str">
        <x:v>User</x:v>
      </x:c>
      <x:c r="D5" s="49" t="str">
        <x:v>variant</x:v>
      </x:c>
      <x:c r="E5" s="49" t="str">
        <x:v>BIZON-VAR-DSR188-1200R20-20PR</x:v>
      </x:c>
      <x:c r="F5" s="49" t="str">
        <x:v>load_index_dual</x:v>
      </x:c>
      <x:c r="G5" s="49" t="str">
        <x:v>183 / unresolved</x:v>
      </x:c>
      <x:c r="H5" s="49" t="str">
        <x:v>183 retained / needs_review</x:v>
      </x:c>
      <x:c r="I5" s="49" t="str">
        <x:v>Keep value but remember to verify</x:v>
      </x:c>
      <x:c r="J5" s="49" t="str">
        <x:v>User decision 2026-07-26</x:v>
      </x:c>
      <x:c r="K5" s="49" t="str">
        <x:v>User</x:v>
      </x:c>
      <x:c r="L5" s="49" t="str">
        <x:v>Publication remains blocked for this variant.</x:v>
      </x:c>
    </x:row>
    <x:row r="6" ht="58" customHeight="1">
      <x:c r="A6" s="49" t="str">
        <x:v>CHG-0005</x:v>
      </x:c>
      <x:c r="B6" s="50" t="n">
        <x:v>46229.270833333336</x:v>
      </x:c>
      <x:c r="C6" s="49" t="str">
        <x:v>User</x:v>
      </x:c>
      <x:c r="D6" s="49" t="str">
        <x:v>variants</x:v>
      </x:c>
      <x:c r="E6" s="49" t="str">
        <x:v>DLA968 / DMS100 / DSR118</x:v>
      </x:c>
      <x:c r="F6" s="49" t="str">
        <x:v>alternative_rating_notation</x:v>
      </x:c>
      <x:c r="G6" s="49" t="str">
        <x:v>160(158), K(L)</x:v>
      </x:c>
      <x:c r="H6" s="49" t="str">
        <x:v>preserved / unresolved</x:v>
      </x:c>
      <x:c r="I6" s="49" t="str">
        <x:v>Meaning remains unclear</x:v>
      </x:c>
      <x:c r="J6" s="49" t="str">
        <x:v>User decision 2026-07-26</x:v>
      </x:c>
      <x:c r="K6" s="49" t="str">
        <x:v>User</x:v>
      </x:c>
      <x:c r="L6" s="49" t="str">
        <x:v>Affected variants remain blocked.</x:v>
      </x:c>
    </x:row>
  </x:sheetData>
  <x:pageMargins left="0.7" right="0.7" top="0.75" bottom="0.75" header="0.3" footer="0.3"/>
  <x:tableParts count="1">
    <x:tablePart xmlns:r="http://schemas.openxmlformats.org/officeDocument/2006/relationships" r:id="R508db176d67c4e0a"/>
  </x:tableParts>
</x:worksheet>
</file>